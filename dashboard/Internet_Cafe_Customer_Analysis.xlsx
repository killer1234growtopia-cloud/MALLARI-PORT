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_Data" sheetId="1" state="visible" r:id="rId3"/>
    <sheet name="Cleaned_Data" sheetId="2" state="visible" r:id="rId4"/>
    <sheet name="Data_Cleaning_Notes" sheetId="3" state="visible" r:id="rId5"/>
    <sheet name="Descriptive_Stats" sheetId="4" state="visible" r:id="rId6"/>
    <sheet name="Customer_Type_Analysis" sheetId="5" state="visible" r:id="rId7"/>
    <sheet name="Service_Analysis" sheetId="6" state="visible" r:id="rId8"/>
    <sheet name="Revenue_Sources" sheetId="7" state="visible" r:id="rId9"/>
    <sheet name="Day_of_Week_Analysis" sheetId="8" state="visible" r:id="rId10"/>
    <sheet name="Top5_Transactions" sheetId="9" state="visible" r:id="rId11"/>
    <sheet name="Correlation_Analysis" sheetId="10" state="visible" r:id="rId12"/>
    <sheet name="Recommendation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<sst xmlns="http://schemas.openxmlformats.org/spreadsheetml/2006/main" count="524" uniqueCount="151">
  <si>
    <t xml:space="preserve">RAW DATA — Internet Café Customer Records (As Provided, Unmodified)</t>
  </si>
  <si>
    <t xml:space="preserve">Source: Case_5 — Internet Café Customer Analysis | 50 records</t>
  </si>
  <si>
    <t xml:space="preserve">Visit_ID</t>
  </si>
  <si>
    <t xml:space="preserve">Day</t>
  </si>
  <si>
    <t xml:space="preserve">Customer_Type</t>
  </si>
  <si>
    <t xml:space="preserve">Age</t>
  </si>
  <si>
    <t xml:space="preserve">Computer_Unit</t>
  </si>
  <si>
    <t xml:space="preserve">Usage_Hours</t>
  </si>
  <si>
    <t xml:space="preserve">Gaming</t>
  </si>
  <si>
    <t xml:space="preserve">Printing_Pages</t>
  </si>
  <si>
    <t xml:space="preserve">Food_Order</t>
  </si>
  <si>
    <t xml:space="preserve">Internet_Sales</t>
  </si>
  <si>
    <t xml:space="preserve">Other_Sales</t>
  </si>
  <si>
    <t xml:space="preserve">Total_Sales</t>
  </si>
  <si>
    <t xml:space="preserve">V5000</t>
  </si>
  <si>
    <t xml:space="preserve">Other</t>
  </si>
  <si>
    <t xml:space="preserve">No</t>
  </si>
  <si>
    <t xml:space="preserve">V5001</t>
  </si>
  <si>
    <t xml:space="preserve">Student</t>
  </si>
  <si>
    <t xml:space="preserve">Yes</t>
  </si>
  <si>
    <t xml:space="preserve">V5002</t>
  </si>
  <si>
    <t xml:space="preserve">Worker</t>
  </si>
  <si>
    <t xml:space="preserve">V5003</t>
  </si>
  <si>
    <t xml:space="preserve">V5004</t>
  </si>
  <si>
    <t xml:space="preserve">V5005</t>
  </si>
  <si>
    <t xml:space="preserve">V5006</t>
  </si>
  <si>
    <t xml:space="preserve">V5007</t>
  </si>
  <si>
    <t xml:space="preserve">V5008</t>
  </si>
  <si>
    <t xml:space="preserve">V5009</t>
  </si>
  <si>
    <t xml:space="preserve">V5010</t>
  </si>
  <si>
    <t xml:space="preserve">V5011</t>
  </si>
  <si>
    <t xml:space="preserve">V5012</t>
  </si>
  <si>
    <t xml:space="preserve">V5013</t>
  </si>
  <si>
    <t xml:space="preserve">V5014</t>
  </si>
  <si>
    <t xml:space="preserve">V5015</t>
  </si>
  <si>
    <t xml:space="preserve">V5016</t>
  </si>
  <si>
    <t xml:space="preserve">V5017</t>
  </si>
  <si>
    <t xml:space="preserve">V5018</t>
  </si>
  <si>
    <t xml:space="preserve">V5019</t>
  </si>
  <si>
    <t xml:space="preserve">V5020</t>
  </si>
  <si>
    <t xml:space="preserve">V5021</t>
  </si>
  <si>
    <t xml:space="preserve">V5022</t>
  </si>
  <si>
    <t xml:space="preserve">V5023</t>
  </si>
  <si>
    <t xml:space="preserve">V5024</t>
  </si>
  <si>
    <t xml:space="preserve">V5025</t>
  </si>
  <si>
    <t xml:space="preserve">V5026</t>
  </si>
  <si>
    <t xml:space="preserve">V5027</t>
  </si>
  <si>
    <t xml:space="preserve">V5028</t>
  </si>
  <si>
    <t xml:space="preserve">V5029</t>
  </si>
  <si>
    <t xml:space="preserve">V5030</t>
  </si>
  <si>
    <t xml:space="preserve">V5031</t>
  </si>
  <si>
    <t xml:space="preserve">V5032</t>
  </si>
  <si>
    <t xml:space="preserve">V5033</t>
  </si>
  <si>
    <t xml:space="preserve">V5034</t>
  </si>
  <si>
    <t xml:space="preserve">V5035</t>
  </si>
  <si>
    <t xml:space="preserve">V5036</t>
  </si>
  <si>
    <t xml:space="preserve">V5037</t>
  </si>
  <si>
    <t xml:space="preserve">V5038</t>
  </si>
  <si>
    <t xml:space="preserve">V5039</t>
  </si>
  <si>
    <t xml:space="preserve">V5040</t>
  </si>
  <si>
    <t xml:space="preserve">V5041</t>
  </si>
  <si>
    <t xml:space="preserve">V5042</t>
  </si>
  <si>
    <t xml:space="preserve">V5043</t>
  </si>
  <si>
    <t xml:space="preserve">V5044</t>
  </si>
  <si>
    <t xml:space="preserve">V5045</t>
  </si>
  <si>
    <t xml:space="preserve">V5046</t>
  </si>
  <si>
    <t xml:space="preserve">V5047</t>
  </si>
  <si>
    <t xml:space="preserve">V5048</t>
  </si>
  <si>
    <t xml:space="preserve">V5049</t>
  </si>
  <si>
    <t xml:space="preserve">CLEANED DATA — Verified Working Dataset</t>
  </si>
  <si>
    <t xml:space="preserve">Task 1–2: Data inspected for missing values, invalid entries, and duplicate Visit IDs. Columns N–P below perform automated checks. See Data_Cleaning_Notes for the summary.</t>
  </si>
  <si>
    <t xml:space="preserve">Day_of_Week</t>
  </si>
  <si>
    <t xml:space="preserve">Sales_Check</t>
  </si>
  <si>
    <t xml:space="preserve">Duplicate_Check</t>
  </si>
  <si>
    <t xml:space="preserve">Rank_Unique</t>
  </si>
  <si>
    <t xml:space="preserve">TASK 1–2: DATA INSPECTION &amp; CLEANING SUMMARY</t>
  </si>
  <si>
    <t xml:space="preserve">A. Completeness &amp; Validity Check</t>
  </si>
  <si>
    <t xml:space="preserve">Total records inspected</t>
  </si>
  <si>
    <t xml:space="preserve">Missing values found (all fields)</t>
  </si>
  <si>
    <t xml:space="preserve">Duplicate Visit IDs found</t>
  </si>
  <si>
    <t xml:space="preserve">Sales calculation mismatches (Internet+Other ≠ Total)</t>
  </si>
  <si>
    <t xml:space="preserve">Negative or invalid Usage Hours found</t>
  </si>
  <si>
    <t xml:space="preserve">Negative or invalid Age values found</t>
  </si>
  <si>
    <t xml:space="preserve">Negative Printing Pages found</t>
  </si>
  <si>
    <t xml:space="preserve">B. Conclusion</t>
  </si>
  <si>
    <t xml:space="preserve">TASK 3–5: DESCRIPTIVE STATISTICS</t>
  </si>
  <si>
    <t xml:space="preserve">A. Usage Hours &amp; Total Sales — Central Tendency and Range</t>
  </si>
  <si>
    <t xml:space="preserve">Metric</t>
  </si>
  <si>
    <t xml:space="preserve">Mean</t>
  </si>
  <si>
    <t xml:space="preserve">Median</t>
  </si>
  <si>
    <t xml:space="preserve">Minimum</t>
  </si>
  <si>
    <t xml:space="preserve">Maximum</t>
  </si>
  <si>
    <t xml:space="preserve">Usage Hours (per visit)</t>
  </si>
  <si>
    <t xml:space="preserve">Total Sales (Php)</t>
  </si>
  <si>
    <t xml:space="preserve">B. Overall Business Volume</t>
  </si>
  <si>
    <t xml:space="preserve">Total Number of Customer Visits</t>
  </si>
  <si>
    <t xml:space="preserve">Total Sales Generated (Php)</t>
  </si>
  <si>
    <t xml:space="preserve">Average Sales per Customer Visit (Php)</t>
  </si>
  <si>
    <t xml:space="preserve">C. Interpretation</t>
  </si>
  <si>
    <t xml:space="preserve">TASK 6, 7 &amp; 13: CUSTOMER TYPE ANALYSIS (PivotTable-style Summary)</t>
  </si>
  <si>
    <t xml:space="preserve">Summary built with COUNTIF/SUMIF/AVERAGEIF formulas against Cleaned_Data — functions as the required PivotTable summarizing Customer Type, Number of Visits, Usage Hours, and Total Sales.</t>
  </si>
  <si>
    <t xml:space="preserve">Customer Type</t>
  </si>
  <si>
    <t xml:space="preserve">Number of Visits</t>
  </si>
  <si>
    <t xml:space="preserve">Total Usage Hours</t>
  </si>
  <si>
    <t xml:space="preserve">Avg Usage Hours</t>
  </si>
  <si>
    <t xml:space="preserve">Avg Sales per Visit (Php)</t>
  </si>
  <si>
    <t xml:space="preserve">TOTAL</t>
  </si>
  <si>
    <t xml:space="preserve">Interpretation</t>
  </si>
  <si>
    <t xml:space="preserve">TASK 8–9: GAMING &amp; PRINTING SERVICE ANALYSIS</t>
  </si>
  <si>
    <t xml:space="preserve">A. Gaming Service Usage</t>
  </si>
  <si>
    <t xml:space="preserve">Customers who used Gaming Service</t>
  </si>
  <si>
    <t xml:space="preserve">Customers who did NOT use Gaming Service</t>
  </si>
  <si>
    <t xml:space="preserve">% of Customers Using Gaming Service</t>
  </si>
  <si>
    <t xml:space="preserve">B. Printing Activity</t>
  </si>
  <si>
    <t xml:space="preserve">Total Number of Pages Printed</t>
  </si>
  <si>
    <t xml:space="preserve">Customers Who Printed (Pages &gt; 0)</t>
  </si>
  <si>
    <t xml:space="preserve">Average Pages Printed per Visit</t>
  </si>
  <si>
    <t xml:space="preserve">TASK 10: INTERNET SALES vs. OTHER SALES</t>
  </si>
  <si>
    <t xml:space="preserve">Revenue Source</t>
  </si>
  <si>
    <t xml:space="preserve">% of Total Revenue</t>
  </si>
  <si>
    <t xml:space="preserve">Internet Sales</t>
  </si>
  <si>
    <t xml:space="preserve">Other Sales (Food, Printing, etc.)</t>
  </si>
  <si>
    <t xml:space="preserve">Major Revenue Source</t>
  </si>
  <si>
    <t xml:space="preserve">TASK 11: SALES BY DAY OF THE WEEK</t>
  </si>
  <si>
    <t xml:space="preserve">Day 1 of the dataset is treated as Monday, cycling every 7 days through Day 50.</t>
  </si>
  <si>
    <t xml:space="preserve">Day of Week</t>
  </si>
  <si>
    <t xml:space="preserve">Monday</t>
  </si>
  <si>
    <t xml:space="preserve">Tuesday</t>
  </si>
  <si>
    <t xml:space="preserve">Wednesday</t>
  </si>
  <si>
    <t xml:space="preserve">Thursday</t>
  </si>
  <si>
    <t xml:space="preserve">Friday</t>
  </si>
  <si>
    <t xml:space="preserve">Saturday</t>
  </si>
  <si>
    <t xml:space="preserve">Sunday</t>
  </si>
  <si>
    <t xml:space="preserve">Best Day (Total Sales)</t>
  </si>
  <si>
    <t xml:space="preserve">Slowest Day (Total Sales)</t>
  </si>
  <si>
    <t xml:space="preserve">TASK 14: TOP 5 CUSTOMER TRANSACTIONS BY TOTAL SALES</t>
  </si>
  <si>
    <t xml:space="preserve">Ties are broken by original row order (Rank_Unique helper column in Cleaned_Data).</t>
  </si>
  <si>
    <t xml:space="preserve">Rank</t>
  </si>
  <si>
    <t xml:space="preserve">Visit ID</t>
  </si>
  <si>
    <t xml:space="preserve">Usage Hours</t>
  </si>
  <si>
    <t xml:space="preserve">TASK 15: CORRELATION — USAGE HOURS vs. TOTAL SALES</t>
  </si>
  <si>
    <t xml:space="preserve">Correlation Coefficient (r)</t>
  </si>
  <si>
    <t xml:space="preserve">Strength of Relationship</t>
  </si>
  <si>
    <t xml:space="preserve">Direction</t>
  </si>
  <si>
    <t xml:space="preserve">FINDINGS &amp; RECOMMENDATIONS</t>
  </si>
  <si>
    <t xml:space="preserve">Key Findings</t>
  </si>
  <si>
    <t xml:space="preserve">Evidence-Based Recommendations</t>
  </si>
  <si>
    <t xml:space="preserve">1. Launch bundled hourly packages (internet time + food or printing credits) to capitalize on the positive correlation between usage hours and total sales — longer, bundled visits already spend more per visit.</t>
  </si>
  <si>
    <t xml:space="preserve">2. Run targeted promotions on the slowest day of the week (see Day_of_Week_Analysis) — e.g., discounted rates or gaming-hour specials — to smooth out weekly demand and reduce idle computer time.</t>
  </si>
  <si>
    <t xml:space="preserve">3. Develop loyalty or membership pricing for Worker and Other customer types, who spend more per visit than Students on average, while offering student-friendly study-hour bundles to retain the largest segment by volume.</t>
  </si>
  <si>
    <t xml:space="preserve">4. Since Internet Sales dominates revenue, actively cross-sell food and printing at the counter during check-in/checkout to grow the Other Sales share, which currently trails well behind Internet Sales.</t>
  </si>
</sst>
</file>

<file path=xl/styles.xml><?xml version="1.0" encoding="utf-8"?>
<styleSheet xmlns="http://schemas.openxmlformats.org/spreadsheetml/2006/main">
  <numFmts count="7">
    <numFmt numFmtId="164" formatCode="General"/>
    <numFmt numFmtId="165" formatCode="#,##0"/>
    <numFmt numFmtId="166" formatCode="General"/>
    <numFmt numFmtId="167" formatCode="0.00"/>
    <numFmt numFmtId="168" formatCode="#,##0.00"/>
    <numFmt numFmtId="169" formatCode="0.0"/>
    <numFmt numFmtId="170" formatCode="0.0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2"/>
      <color rgb="FF1F4E78"/>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4E78"/>
        <bgColor rgb="FF003366"/>
      </patternFill>
    </fill>
    <fill>
      <patternFill patternType="solid">
        <fgColor rgb="FF2E75B6"/>
        <bgColor rgb="FF4F81BD"/>
      </patternFill>
    </fill>
    <fill>
      <patternFill patternType="solid">
        <fgColor rgb="FFD9E1F2"/>
        <bgColor rgb="FFD9D9D9"/>
      </patternFill>
    </fill>
    <fill>
      <patternFill patternType="solid">
        <fgColor rgb="FFFCE4D6"/>
        <bgColor rgb="FFF9F9F9"/>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8" fontId="9" fillId="4"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8" fontId="9" fillId="5" borderId="1" xfId="0" applyFont="true" applyBorder="true" applyAlignment="true" applyProtection="false">
      <alignment horizontal="center" vertical="center" textRotation="0" wrapText="false" indent="0" shrinkToFit="false"/>
      <protection locked="true" hidden="false"/>
    </xf>
    <xf numFmtId="169" fontId="9" fillId="4"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9" fontId="9" fillId="5"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70"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C0504D"/>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Number of Customers by Customer Type</a:t>
            </a:r>
          </a:p>
        </c:rich>
      </c:tx>
      <c:overlay val="0"/>
      <c:spPr>
        <a:noFill/>
        <a:ln w="0">
          <a:noFill/>
        </a:ln>
      </c:spPr>
    </c:title>
    <c:autoTitleDeleted val="0"/>
    <c:plotArea>
      <c:barChart>
        <c:barDir val="col"/>
        <c:grouping val="clustered"/>
        <c:varyColors val="0"/>
        <c:ser>
          <c:idx val="0"/>
          <c:order val="0"/>
          <c:tx>
            <c:strRef>
              <c:f>Customer_Type_Analysis!B4</c:f>
              <c:strCache>
                <c:ptCount val="1"/>
                <c:pt idx="0">
                  <c:v>Number of Visits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Customer_Type_Analysis!$A$5:$A$7</c:f>
              <c:strCache>
                <c:ptCount val="3"/>
                <c:pt idx="0">
                  <c:v>Student</c:v>
                </c:pt>
                <c:pt idx="1">
                  <c:v>Worker</c:v>
                </c:pt>
                <c:pt idx="2">
                  <c:v>Other</c:v>
                </c:pt>
              </c:strCache>
            </c:strRef>
          </c:cat>
          <c:val>
            <c:numRef>
              <c:f>Customer_Type_Analysis!$B$5:$B$7</c:f>
              <c:numCache>
                <c:formatCode>#,##0</c:formatCode>
                <c:ptCount val="3"/>
                <c:pt idx="0">
                  <c:v>20</c:v>
                </c:pt>
                <c:pt idx="1">
                  <c:v>15</c:v>
                </c:pt>
                <c:pt idx="2">
                  <c:v>15</c:v>
                </c:pt>
              </c:numCache>
            </c:numRef>
          </c:val>
        </c:ser>
        <c:gapWidth val="150"/>
        <c:overlap val="0"/>
        <c:axId val="66361673"/>
        <c:axId val="45151463"/>
      </c:barChart>
      <c:catAx>
        <c:axId val="6636167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Customer Type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151463"/>
        <c:crosses val="autoZero"/>
        <c:auto val="1"/>
        <c:lblAlgn val="ctr"/>
        <c:lblOffset val="100"/>
        <c:noMultiLvlLbl val="0"/>
      </c:catAx>
      <c:valAx>
        <c:axId val="451514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Visits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616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Internet Sales vs. Other Sales</a:t>
            </a:r>
          </a:p>
        </c:rich>
      </c:tx>
      <c:overlay val="0"/>
      <c:spPr>
        <a:noFill/>
        <a:ln w="0">
          <a:noFill/>
        </a:ln>
      </c:spPr>
    </c:title>
    <c:autoTitleDeleted val="0"/>
    <c:plotArea>
      <c:pieChart>
        <c:varyColors val="1"/>
        <c:ser>
          <c:idx val="0"/>
          <c:order val="0"/>
          <c:tx>
            <c:strRef>
              <c:f>Revenue_Sources!B3</c:f>
              <c:strCache>
                <c:ptCount val="1"/>
                <c:pt idx="0">
                  <c:v>Total Sales (Php)</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Revenue_Sources!$A$4:$A$5</c:f>
              <c:strCache>
                <c:ptCount val="2"/>
                <c:pt idx="0">
                  <c:v>Internet Sales</c:v>
                </c:pt>
                <c:pt idx="1">
                  <c:v>Other Sales (Food, Printing, etc.)</c:v>
                </c:pt>
              </c:strCache>
            </c:strRef>
          </c:cat>
          <c:val>
            <c:numRef>
              <c:f>Revenue_Sources!$B$4:$B$5</c:f>
              <c:numCache>
                <c:formatCode>#,##0.00</c:formatCode>
                <c:ptCount val="2"/>
                <c:pt idx="0">
                  <c:v>6125</c:v>
                </c:pt>
                <c:pt idx="1">
                  <c:v>2220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Sales by Day of the Week</a:t>
            </a:r>
          </a:p>
        </c:rich>
      </c:tx>
      <c:overlay val="0"/>
      <c:spPr>
        <a:noFill/>
        <a:ln w="0">
          <a:noFill/>
        </a:ln>
      </c:spPr>
    </c:title>
    <c:autoTitleDeleted val="0"/>
    <c:plotArea>
      <c:barChart>
        <c:barDir val="col"/>
        <c:grouping val="clustered"/>
        <c:varyColors val="0"/>
        <c:ser>
          <c:idx val="0"/>
          <c:order val="0"/>
          <c:tx>
            <c:strRef>
              <c:f>Day_of_Week_Analysis!C4</c:f>
              <c:strCache>
                <c:ptCount val="1"/>
                <c:pt idx="0">
                  <c:v>Total Sales (Php)</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Day_of_Week_Analysis!$A$5:$A$11</c:f>
              <c:strCache>
                <c:ptCount val="7"/>
                <c:pt idx="0">
                  <c:v>Monday</c:v>
                </c:pt>
                <c:pt idx="1">
                  <c:v>Tuesday</c:v>
                </c:pt>
                <c:pt idx="2">
                  <c:v>Wednesday</c:v>
                </c:pt>
                <c:pt idx="3">
                  <c:v>Thursday</c:v>
                </c:pt>
                <c:pt idx="4">
                  <c:v>Friday</c:v>
                </c:pt>
                <c:pt idx="5">
                  <c:v>Saturday</c:v>
                </c:pt>
                <c:pt idx="6">
                  <c:v>Sunday</c:v>
                </c:pt>
              </c:strCache>
            </c:strRef>
          </c:cat>
          <c:val>
            <c:numRef>
              <c:f>Day_of_Week_Analysis!$C$5:$C$11</c:f>
              <c:numCache>
                <c:formatCode>#,##0.00</c:formatCode>
                <c:ptCount val="7"/>
                <c:pt idx="0">
                  <c:v>1490</c:v>
                </c:pt>
                <c:pt idx="1">
                  <c:v>995</c:v>
                </c:pt>
                <c:pt idx="2">
                  <c:v>1290</c:v>
                </c:pt>
                <c:pt idx="3">
                  <c:v>1205</c:v>
                </c:pt>
                <c:pt idx="4">
                  <c:v>1280</c:v>
                </c:pt>
                <c:pt idx="5">
                  <c:v>1035</c:v>
                </c:pt>
                <c:pt idx="6">
                  <c:v>1050</c:v>
                </c:pt>
              </c:numCache>
            </c:numRef>
          </c:val>
        </c:ser>
        <c:gapWidth val="150"/>
        <c:overlap val="0"/>
        <c:axId val="45594536"/>
        <c:axId val="61856468"/>
      </c:barChart>
      <c:catAx>
        <c:axId val="455945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 of the Week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856468"/>
        <c:crosses val="autoZero"/>
        <c:auto val="1"/>
        <c:lblAlgn val="ctr"/>
        <c:lblOffset val="100"/>
        <c:noMultiLvlLbl val="0"/>
      </c:catAx>
      <c:valAx>
        <c:axId val="6185646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 (Php)</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5945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Usage Hours vs. Total Sales (Correlation)</a:t>
            </a:r>
          </a:p>
        </c:rich>
      </c:tx>
      <c:overlay val="0"/>
      <c:spPr>
        <a:noFill/>
        <a:ln w="0">
          <a:noFill/>
        </a:ln>
      </c:spPr>
    </c:title>
    <c:autoTitleDeleted val="0"/>
    <c:plotArea>
      <c:scatterChart>
        <c:scatterStyle val="lineMarker"/>
        <c:varyColors val="0"/>
        <c:ser>
          <c:idx val="0"/>
          <c:order val="0"/>
          <c:tx>
            <c:strRef>
              <c:f>"Customer Visit"</c:f>
              <c:strCache>
                <c:ptCount val="1"/>
                <c:pt idx="0">
                  <c:v>Customer Visit</c:v>
                </c:pt>
              </c:strCache>
            </c:strRef>
          </c:tx>
          <c:spPr>
            <a:solidFill>
              <a:srgbClr val="ffffff"/>
            </a:solidFill>
            <a:ln w="4752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Cleaned_Data!$F$5:$F$54</c:f>
              <c:numCache>
                <c:formatCode>General</c:formatCode>
                <c:ptCount val="50"/>
                <c:pt idx="0">
                  <c:v>7</c:v>
                </c:pt>
                <c:pt idx="1">
                  <c:v>2</c:v>
                </c:pt>
                <c:pt idx="2">
                  <c:v>4</c:v>
                </c:pt>
                <c:pt idx="3">
                  <c:v>3</c:v>
                </c:pt>
                <c:pt idx="4">
                  <c:v>6</c:v>
                </c:pt>
                <c:pt idx="5">
                  <c:v>4</c:v>
                </c:pt>
                <c:pt idx="6">
                  <c:v>4</c:v>
                </c:pt>
                <c:pt idx="7">
                  <c:v>5</c:v>
                </c:pt>
                <c:pt idx="8">
                  <c:v>5</c:v>
                </c:pt>
                <c:pt idx="9">
                  <c:v>8</c:v>
                </c:pt>
                <c:pt idx="10">
                  <c:v>7</c:v>
                </c:pt>
                <c:pt idx="11">
                  <c:v>8</c:v>
                </c:pt>
                <c:pt idx="12">
                  <c:v>8</c:v>
                </c:pt>
                <c:pt idx="13">
                  <c:v>8</c:v>
                </c:pt>
                <c:pt idx="14">
                  <c:v>8</c:v>
                </c:pt>
                <c:pt idx="15">
                  <c:v>1</c:v>
                </c:pt>
                <c:pt idx="16">
                  <c:v>5</c:v>
                </c:pt>
                <c:pt idx="17">
                  <c:v>2</c:v>
                </c:pt>
                <c:pt idx="18">
                  <c:v>7</c:v>
                </c:pt>
                <c:pt idx="19">
                  <c:v>3</c:v>
                </c:pt>
                <c:pt idx="20">
                  <c:v>8</c:v>
                </c:pt>
                <c:pt idx="21">
                  <c:v>1</c:v>
                </c:pt>
                <c:pt idx="22">
                  <c:v>5</c:v>
                </c:pt>
                <c:pt idx="23">
                  <c:v>7</c:v>
                </c:pt>
                <c:pt idx="24">
                  <c:v>6</c:v>
                </c:pt>
                <c:pt idx="25">
                  <c:v>5</c:v>
                </c:pt>
                <c:pt idx="26">
                  <c:v>6</c:v>
                </c:pt>
                <c:pt idx="27">
                  <c:v>6</c:v>
                </c:pt>
                <c:pt idx="28">
                  <c:v>8</c:v>
                </c:pt>
                <c:pt idx="29">
                  <c:v>3</c:v>
                </c:pt>
                <c:pt idx="30">
                  <c:v>3</c:v>
                </c:pt>
                <c:pt idx="31">
                  <c:v>4</c:v>
                </c:pt>
                <c:pt idx="32">
                  <c:v>7</c:v>
                </c:pt>
                <c:pt idx="33">
                  <c:v>6</c:v>
                </c:pt>
                <c:pt idx="34">
                  <c:v>2</c:v>
                </c:pt>
                <c:pt idx="35">
                  <c:v>2</c:v>
                </c:pt>
                <c:pt idx="36">
                  <c:v>2</c:v>
                </c:pt>
                <c:pt idx="37">
                  <c:v>8</c:v>
                </c:pt>
                <c:pt idx="38">
                  <c:v>4</c:v>
                </c:pt>
                <c:pt idx="39">
                  <c:v>6</c:v>
                </c:pt>
                <c:pt idx="40">
                  <c:v>6</c:v>
                </c:pt>
                <c:pt idx="41">
                  <c:v>2</c:v>
                </c:pt>
                <c:pt idx="42">
                  <c:v>4</c:v>
                </c:pt>
                <c:pt idx="43">
                  <c:v>5</c:v>
                </c:pt>
                <c:pt idx="44">
                  <c:v>3</c:v>
                </c:pt>
                <c:pt idx="45">
                  <c:v>3</c:v>
                </c:pt>
                <c:pt idx="46">
                  <c:v>7</c:v>
                </c:pt>
                <c:pt idx="47">
                  <c:v>2</c:v>
                </c:pt>
                <c:pt idx="48">
                  <c:v>2</c:v>
                </c:pt>
                <c:pt idx="49">
                  <c:v>7</c:v>
                </c:pt>
              </c:numCache>
            </c:numRef>
          </c:xVal>
          <c:yVal>
            <c:numRef>
              <c:f>Cleaned_Data!$L$5:$L$54</c:f>
              <c:numCache>
                <c:formatCode>#,##0</c:formatCode>
                <c:ptCount val="50"/>
                <c:pt idx="0">
                  <c:v>205</c:v>
                </c:pt>
                <c:pt idx="1">
                  <c:v>130</c:v>
                </c:pt>
                <c:pt idx="2">
                  <c:v>150</c:v>
                </c:pt>
                <c:pt idx="3">
                  <c:v>105</c:v>
                </c:pt>
                <c:pt idx="4">
                  <c:v>160</c:v>
                </c:pt>
                <c:pt idx="5">
                  <c:v>110</c:v>
                </c:pt>
                <c:pt idx="6">
                  <c:v>140</c:v>
                </c:pt>
                <c:pt idx="7">
                  <c:v>245</c:v>
                </c:pt>
                <c:pt idx="8">
                  <c:v>245</c:v>
                </c:pt>
                <c:pt idx="9">
                  <c:v>235</c:v>
                </c:pt>
                <c:pt idx="10">
                  <c:v>300</c:v>
                </c:pt>
                <c:pt idx="11">
                  <c:v>210</c:v>
                </c:pt>
                <c:pt idx="12">
                  <c:v>235</c:v>
                </c:pt>
                <c:pt idx="13">
                  <c:v>225</c:v>
                </c:pt>
                <c:pt idx="14">
                  <c:v>300</c:v>
                </c:pt>
                <c:pt idx="15">
                  <c:v>150</c:v>
                </c:pt>
                <c:pt idx="16">
                  <c:v>130</c:v>
                </c:pt>
                <c:pt idx="17">
                  <c:v>135</c:v>
                </c:pt>
                <c:pt idx="18">
                  <c:v>175</c:v>
                </c:pt>
                <c:pt idx="19">
                  <c:v>75</c:v>
                </c:pt>
                <c:pt idx="20">
                  <c:v>200</c:v>
                </c:pt>
                <c:pt idx="21">
                  <c:v>50</c:v>
                </c:pt>
                <c:pt idx="22">
                  <c:v>160</c:v>
                </c:pt>
                <c:pt idx="23">
                  <c:v>265</c:v>
                </c:pt>
                <c:pt idx="24">
                  <c:v>265</c:v>
                </c:pt>
                <c:pt idx="25">
                  <c:v>160</c:v>
                </c:pt>
                <c:pt idx="26">
                  <c:v>165</c:v>
                </c:pt>
                <c:pt idx="27">
                  <c:v>180</c:v>
                </c:pt>
                <c:pt idx="28">
                  <c:v>245</c:v>
                </c:pt>
                <c:pt idx="29">
                  <c:v>100</c:v>
                </c:pt>
                <c:pt idx="30">
                  <c:v>85</c:v>
                </c:pt>
                <c:pt idx="31">
                  <c:v>100</c:v>
                </c:pt>
                <c:pt idx="32">
                  <c:v>175</c:v>
                </c:pt>
                <c:pt idx="33">
                  <c:v>155</c:v>
                </c:pt>
                <c:pt idx="34">
                  <c:v>90</c:v>
                </c:pt>
                <c:pt idx="35">
                  <c:v>130</c:v>
                </c:pt>
                <c:pt idx="36">
                  <c:v>60</c:v>
                </c:pt>
                <c:pt idx="37">
                  <c:v>245</c:v>
                </c:pt>
                <c:pt idx="38">
                  <c:v>140</c:v>
                </c:pt>
                <c:pt idx="39">
                  <c:v>200</c:v>
                </c:pt>
                <c:pt idx="40">
                  <c:v>230</c:v>
                </c:pt>
                <c:pt idx="41">
                  <c:v>155</c:v>
                </c:pt>
                <c:pt idx="42">
                  <c:v>125</c:v>
                </c:pt>
                <c:pt idx="43">
                  <c:v>150</c:v>
                </c:pt>
                <c:pt idx="44">
                  <c:v>180</c:v>
                </c:pt>
                <c:pt idx="45">
                  <c:v>160</c:v>
                </c:pt>
                <c:pt idx="46">
                  <c:v>200</c:v>
                </c:pt>
                <c:pt idx="47">
                  <c:v>65</c:v>
                </c:pt>
                <c:pt idx="48">
                  <c:v>60</c:v>
                </c:pt>
                <c:pt idx="49">
                  <c:v>190</c:v>
                </c:pt>
              </c:numCache>
            </c:numRef>
          </c:yVal>
          <c:smooth val="1"/>
        </c:ser>
        <c:axId val="55182997"/>
        <c:axId val="18955435"/>
      </c:scatterChart>
      <c:valAx>
        <c:axId val="55182997"/>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Usage Hours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55435"/>
        <c:crosses val="autoZero"/>
        <c:crossBetween val="midCat"/>
      </c:valAx>
      <c:valAx>
        <c:axId val="189554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 (Php)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18299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78120</xdr:rowOff>
    </xdr:from>
    <xdr:to>
      <xdr:col>4</xdr:col>
      <xdr:colOff>669600</xdr:colOff>
      <xdr:row>24</xdr:row>
      <xdr:rowOff>100440</xdr:rowOff>
    </xdr:to>
    <xdr:graphicFrame>
      <xdr:nvGraphicFramePr>
        <xdr:cNvPr id="0" name="Chart 1"/>
        <xdr:cNvGraphicFramePr/>
      </xdr:nvGraphicFramePr>
      <xdr:xfrm>
        <a:off x="0" y="199080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2</xdr:col>
      <xdr:colOff>654480</xdr:colOff>
      <xdr:row>25</xdr:row>
      <xdr:rowOff>22320</xdr:rowOff>
    </xdr:to>
    <xdr:graphicFrame>
      <xdr:nvGraphicFramePr>
        <xdr:cNvPr id="1" name="Chart 1"/>
        <xdr:cNvGraphicFramePr/>
      </xdr:nvGraphicFramePr>
      <xdr:xfrm>
        <a:off x="0" y="199080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xdr:row>
      <xdr:rowOff>78120</xdr:rowOff>
    </xdr:from>
    <xdr:to>
      <xdr:col>4</xdr:col>
      <xdr:colOff>402840</xdr:colOff>
      <xdr:row>31</xdr:row>
      <xdr:rowOff>79200</xdr:rowOff>
    </xdr:to>
    <xdr:graphicFrame>
      <xdr:nvGraphicFramePr>
        <xdr:cNvPr id="2" name="Chart 1"/>
        <xdr:cNvGraphicFramePr/>
      </xdr:nvGraphicFramePr>
      <xdr:xfrm>
        <a:off x="0" y="294336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xdr:row>
      <xdr:rowOff>0</xdr:rowOff>
    </xdr:from>
    <xdr:to>
      <xdr:col>4</xdr:col>
      <xdr:colOff>402840</xdr:colOff>
      <xdr:row>32</xdr:row>
      <xdr:rowOff>170640</xdr:rowOff>
    </xdr:to>
    <xdr:graphicFrame>
      <xdr:nvGraphicFramePr>
        <xdr:cNvPr id="3" name="Chart 1"/>
        <xdr:cNvGraphicFramePr/>
      </xdr:nvGraphicFramePr>
      <xdr:xfrm>
        <a:off x="0" y="275256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13"/>
  </cols>
  <sheetData>
    <row r="1" customFormat="false" ht="21.75" hidden="false" customHeight="true" outlineLevel="0" collapsed="false">
      <c r="A1" s="1" t="s">
        <v>0</v>
      </c>
      <c r="B1" s="1"/>
      <c r="C1" s="1"/>
      <c r="D1" s="1"/>
      <c r="E1" s="1"/>
      <c r="F1" s="1"/>
      <c r="G1" s="1"/>
      <c r="H1" s="1"/>
      <c r="I1" s="1"/>
      <c r="J1" s="1"/>
      <c r="K1" s="1"/>
      <c r="L1" s="1"/>
    </row>
    <row r="2" customFormat="false" ht="15" hidden="false" customHeight="false" outlineLevel="0" collapsed="false">
      <c r="A2" s="2" t="s">
        <v>1</v>
      </c>
      <c r="B2" s="2"/>
      <c r="C2" s="2"/>
      <c r="D2" s="2"/>
      <c r="E2" s="2"/>
      <c r="F2" s="2"/>
      <c r="G2" s="2"/>
      <c r="H2" s="2"/>
      <c r="I2" s="2"/>
      <c r="J2" s="2"/>
      <c r="K2" s="2"/>
      <c r="L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5" hidden="false" customHeight="false" outlineLevel="0" collapsed="false">
      <c r="A5" s="4" t="s">
        <v>14</v>
      </c>
      <c r="B5" s="4" t="n">
        <v>1</v>
      </c>
      <c r="C5" s="4" t="s">
        <v>15</v>
      </c>
      <c r="D5" s="4" t="n">
        <v>20</v>
      </c>
      <c r="E5" s="4" t="n">
        <v>29</v>
      </c>
      <c r="F5" s="4" t="n">
        <v>7</v>
      </c>
      <c r="G5" s="4" t="s">
        <v>16</v>
      </c>
      <c r="H5" s="4" t="n">
        <v>6</v>
      </c>
      <c r="I5" s="4" t="s">
        <v>16</v>
      </c>
      <c r="J5" s="5" t="n">
        <v>175</v>
      </c>
      <c r="K5" s="5" t="n">
        <v>30</v>
      </c>
      <c r="L5" s="5" t="n">
        <v>205</v>
      </c>
    </row>
    <row r="6" customFormat="false" ht="15" hidden="false" customHeight="false" outlineLevel="0" collapsed="false">
      <c r="A6" s="4" t="s">
        <v>17</v>
      </c>
      <c r="B6" s="4" t="n">
        <v>2</v>
      </c>
      <c r="C6" s="4" t="s">
        <v>18</v>
      </c>
      <c r="D6" s="4" t="n">
        <v>18</v>
      </c>
      <c r="E6" s="4" t="n">
        <v>17</v>
      </c>
      <c r="F6" s="4" t="n">
        <v>2</v>
      </c>
      <c r="G6" s="4" t="s">
        <v>16</v>
      </c>
      <c r="H6" s="4" t="n">
        <v>0</v>
      </c>
      <c r="I6" s="4" t="s">
        <v>19</v>
      </c>
      <c r="J6" s="5" t="n">
        <v>50</v>
      </c>
      <c r="K6" s="5" t="n">
        <v>80</v>
      </c>
      <c r="L6" s="5" t="n">
        <v>130</v>
      </c>
    </row>
    <row r="7" customFormat="false" ht="15" hidden="false" customHeight="false" outlineLevel="0" collapsed="false">
      <c r="A7" s="4" t="s">
        <v>20</v>
      </c>
      <c r="B7" s="4" t="n">
        <v>3</v>
      </c>
      <c r="C7" s="4" t="s">
        <v>21</v>
      </c>
      <c r="D7" s="4" t="n">
        <v>42</v>
      </c>
      <c r="E7" s="4" t="n">
        <v>4</v>
      </c>
      <c r="F7" s="4" t="n">
        <v>4</v>
      </c>
      <c r="G7" s="4" t="s">
        <v>19</v>
      </c>
      <c r="H7" s="4" t="n">
        <v>10</v>
      </c>
      <c r="I7" s="4" t="s">
        <v>16</v>
      </c>
      <c r="J7" s="5" t="n">
        <v>100</v>
      </c>
      <c r="K7" s="5" t="n">
        <v>50</v>
      </c>
      <c r="L7" s="5" t="n">
        <v>150</v>
      </c>
    </row>
    <row r="8" customFormat="false" ht="15" hidden="false" customHeight="false" outlineLevel="0" collapsed="false">
      <c r="A8" s="4" t="s">
        <v>22</v>
      </c>
      <c r="B8" s="4" t="n">
        <v>4</v>
      </c>
      <c r="C8" s="4" t="s">
        <v>21</v>
      </c>
      <c r="D8" s="4" t="n">
        <v>28</v>
      </c>
      <c r="E8" s="4" t="n">
        <v>10</v>
      </c>
      <c r="F8" s="4" t="n">
        <v>3</v>
      </c>
      <c r="G8" s="4" t="s">
        <v>16</v>
      </c>
      <c r="H8" s="4" t="n">
        <v>6</v>
      </c>
      <c r="I8" s="4" t="s">
        <v>16</v>
      </c>
      <c r="J8" s="5" t="n">
        <v>75</v>
      </c>
      <c r="K8" s="5" t="n">
        <v>30</v>
      </c>
      <c r="L8" s="5" t="n">
        <v>105</v>
      </c>
    </row>
    <row r="9" customFormat="false" ht="15" hidden="false" customHeight="false" outlineLevel="0" collapsed="false">
      <c r="A9" s="4" t="s">
        <v>23</v>
      </c>
      <c r="B9" s="4" t="n">
        <v>5</v>
      </c>
      <c r="C9" s="4" t="s">
        <v>21</v>
      </c>
      <c r="D9" s="4" t="n">
        <v>22</v>
      </c>
      <c r="E9" s="4" t="n">
        <v>30</v>
      </c>
      <c r="F9" s="4" t="n">
        <v>6</v>
      </c>
      <c r="G9" s="4" t="s">
        <v>19</v>
      </c>
      <c r="H9" s="4" t="n">
        <v>2</v>
      </c>
      <c r="I9" s="4" t="s">
        <v>16</v>
      </c>
      <c r="J9" s="5" t="n">
        <v>150</v>
      </c>
      <c r="K9" s="5" t="n">
        <v>10</v>
      </c>
      <c r="L9" s="5" t="n">
        <v>160</v>
      </c>
    </row>
    <row r="10" customFormat="false" ht="15" hidden="false" customHeight="false" outlineLevel="0" collapsed="false">
      <c r="A10" s="4" t="s">
        <v>24</v>
      </c>
      <c r="B10" s="4" t="n">
        <v>6</v>
      </c>
      <c r="C10" s="4" t="s">
        <v>18</v>
      </c>
      <c r="D10" s="4" t="n">
        <v>38</v>
      </c>
      <c r="E10" s="4" t="n">
        <v>4</v>
      </c>
      <c r="F10" s="4" t="n">
        <v>4</v>
      </c>
      <c r="G10" s="4" t="s">
        <v>16</v>
      </c>
      <c r="H10" s="4" t="n">
        <v>2</v>
      </c>
      <c r="I10" s="4" t="s">
        <v>16</v>
      </c>
      <c r="J10" s="5" t="n">
        <v>100</v>
      </c>
      <c r="K10" s="5" t="n">
        <v>10</v>
      </c>
      <c r="L10" s="5" t="n">
        <v>110</v>
      </c>
    </row>
    <row r="11" customFormat="false" ht="15" hidden="false" customHeight="false" outlineLevel="0" collapsed="false">
      <c r="A11" s="4" t="s">
        <v>25</v>
      </c>
      <c r="B11" s="4" t="n">
        <v>7</v>
      </c>
      <c r="C11" s="4" t="s">
        <v>18</v>
      </c>
      <c r="D11" s="4" t="n">
        <v>28</v>
      </c>
      <c r="E11" s="4" t="n">
        <v>12</v>
      </c>
      <c r="F11" s="4" t="n">
        <v>4</v>
      </c>
      <c r="G11" s="4" t="s">
        <v>16</v>
      </c>
      <c r="H11" s="4" t="n">
        <v>8</v>
      </c>
      <c r="I11" s="4" t="s">
        <v>16</v>
      </c>
      <c r="J11" s="5" t="n">
        <v>100</v>
      </c>
      <c r="K11" s="5" t="n">
        <v>40</v>
      </c>
      <c r="L11" s="5" t="n">
        <v>140</v>
      </c>
    </row>
    <row r="12" customFormat="false" ht="15" hidden="false" customHeight="false" outlineLevel="0" collapsed="false">
      <c r="A12" s="4" t="s">
        <v>26</v>
      </c>
      <c r="B12" s="4" t="n">
        <v>8</v>
      </c>
      <c r="C12" s="4" t="s">
        <v>18</v>
      </c>
      <c r="D12" s="4" t="n">
        <v>39</v>
      </c>
      <c r="E12" s="4" t="n">
        <v>22</v>
      </c>
      <c r="F12" s="4" t="n">
        <v>5</v>
      </c>
      <c r="G12" s="4" t="s">
        <v>16</v>
      </c>
      <c r="H12" s="4" t="n">
        <v>8</v>
      </c>
      <c r="I12" s="4" t="s">
        <v>19</v>
      </c>
      <c r="J12" s="5" t="n">
        <v>125</v>
      </c>
      <c r="K12" s="5" t="n">
        <v>120</v>
      </c>
      <c r="L12" s="5" t="n">
        <v>245</v>
      </c>
    </row>
    <row r="13" customFormat="false" ht="15" hidden="false" customHeight="false" outlineLevel="0" collapsed="false">
      <c r="A13" s="4" t="s">
        <v>27</v>
      </c>
      <c r="B13" s="4" t="n">
        <v>9</v>
      </c>
      <c r="C13" s="4" t="s">
        <v>21</v>
      </c>
      <c r="D13" s="4" t="n">
        <v>16</v>
      </c>
      <c r="E13" s="4" t="n">
        <v>24</v>
      </c>
      <c r="F13" s="4" t="n">
        <v>5</v>
      </c>
      <c r="G13" s="4" t="s">
        <v>19</v>
      </c>
      <c r="H13" s="4" t="n">
        <v>8</v>
      </c>
      <c r="I13" s="4" t="s">
        <v>19</v>
      </c>
      <c r="J13" s="5" t="n">
        <v>125</v>
      </c>
      <c r="K13" s="5" t="n">
        <v>120</v>
      </c>
      <c r="L13" s="5" t="n">
        <v>245</v>
      </c>
    </row>
    <row r="14" customFormat="false" ht="15" hidden="false" customHeight="false" outlineLevel="0" collapsed="false">
      <c r="A14" s="4" t="s">
        <v>28</v>
      </c>
      <c r="B14" s="4" t="n">
        <v>10</v>
      </c>
      <c r="C14" s="4" t="s">
        <v>21</v>
      </c>
      <c r="D14" s="4" t="n">
        <v>24</v>
      </c>
      <c r="E14" s="4" t="n">
        <v>23</v>
      </c>
      <c r="F14" s="4" t="n">
        <v>8</v>
      </c>
      <c r="G14" s="4" t="s">
        <v>19</v>
      </c>
      <c r="H14" s="4" t="n">
        <v>7</v>
      </c>
      <c r="I14" s="4" t="s">
        <v>16</v>
      </c>
      <c r="J14" s="5" t="n">
        <v>200</v>
      </c>
      <c r="K14" s="5" t="n">
        <v>35</v>
      </c>
      <c r="L14" s="5" t="n">
        <v>235</v>
      </c>
    </row>
    <row r="15" customFormat="false" ht="15" hidden="false" customHeight="false" outlineLevel="0" collapsed="false">
      <c r="A15" s="4" t="s">
        <v>29</v>
      </c>
      <c r="B15" s="4" t="n">
        <v>11</v>
      </c>
      <c r="C15" s="4" t="s">
        <v>15</v>
      </c>
      <c r="D15" s="4" t="n">
        <v>28</v>
      </c>
      <c r="E15" s="4" t="n">
        <v>25</v>
      </c>
      <c r="F15" s="4" t="n">
        <v>7</v>
      </c>
      <c r="G15" s="4" t="s">
        <v>16</v>
      </c>
      <c r="H15" s="4" t="n">
        <v>9</v>
      </c>
      <c r="I15" s="4" t="s">
        <v>19</v>
      </c>
      <c r="J15" s="5" t="n">
        <v>175</v>
      </c>
      <c r="K15" s="5" t="n">
        <v>125</v>
      </c>
      <c r="L15" s="5" t="n">
        <v>300</v>
      </c>
    </row>
    <row r="16" customFormat="false" ht="15" hidden="false" customHeight="false" outlineLevel="0" collapsed="false">
      <c r="A16" s="4" t="s">
        <v>30</v>
      </c>
      <c r="B16" s="4" t="n">
        <v>12</v>
      </c>
      <c r="C16" s="4" t="s">
        <v>15</v>
      </c>
      <c r="D16" s="4" t="n">
        <v>41</v>
      </c>
      <c r="E16" s="4" t="n">
        <v>21</v>
      </c>
      <c r="F16" s="4" t="n">
        <v>8</v>
      </c>
      <c r="G16" s="4" t="s">
        <v>19</v>
      </c>
      <c r="H16" s="4" t="n">
        <v>2</v>
      </c>
      <c r="I16" s="4" t="s">
        <v>16</v>
      </c>
      <c r="J16" s="5" t="n">
        <v>200</v>
      </c>
      <c r="K16" s="5" t="n">
        <v>10</v>
      </c>
      <c r="L16" s="5" t="n">
        <v>210</v>
      </c>
    </row>
    <row r="17" customFormat="false" ht="15" hidden="false" customHeight="false" outlineLevel="0" collapsed="false">
      <c r="A17" s="4" t="s">
        <v>31</v>
      </c>
      <c r="B17" s="4" t="n">
        <v>13</v>
      </c>
      <c r="C17" s="4" t="s">
        <v>21</v>
      </c>
      <c r="D17" s="4" t="n">
        <v>27</v>
      </c>
      <c r="E17" s="4" t="n">
        <v>17</v>
      </c>
      <c r="F17" s="4" t="n">
        <v>8</v>
      </c>
      <c r="G17" s="4" t="s">
        <v>16</v>
      </c>
      <c r="H17" s="4" t="n">
        <v>7</v>
      </c>
      <c r="I17" s="4" t="s">
        <v>16</v>
      </c>
      <c r="J17" s="5" t="n">
        <v>200</v>
      </c>
      <c r="K17" s="5" t="n">
        <v>35</v>
      </c>
      <c r="L17" s="5" t="n">
        <v>235</v>
      </c>
    </row>
    <row r="18" customFormat="false" ht="15" hidden="false" customHeight="false" outlineLevel="0" collapsed="false">
      <c r="A18" s="4" t="s">
        <v>32</v>
      </c>
      <c r="B18" s="4" t="n">
        <v>14</v>
      </c>
      <c r="C18" s="4" t="s">
        <v>18</v>
      </c>
      <c r="D18" s="4" t="n">
        <v>18</v>
      </c>
      <c r="E18" s="4" t="n">
        <v>7</v>
      </c>
      <c r="F18" s="4" t="n">
        <v>8</v>
      </c>
      <c r="G18" s="4" t="s">
        <v>16</v>
      </c>
      <c r="H18" s="4" t="n">
        <v>5</v>
      </c>
      <c r="I18" s="4" t="s">
        <v>16</v>
      </c>
      <c r="J18" s="5" t="n">
        <v>200</v>
      </c>
      <c r="K18" s="5" t="n">
        <v>25</v>
      </c>
      <c r="L18" s="5" t="n">
        <v>225</v>
      </c>
    </row>
    <row r="19" customFormat="false" ht="15" hidden="false" customHeight="false" outlineLevel="0" collapsed="false">
      <c r="A19" s="4" t="s">
        <v>33</v>
      </c>
      <c r="B19" s="4" t="n">
        <v>15</v>
      </c>
      <c r="C19" s="4" t="s">
        <v>18</v>
      </c>
      <c r="D19" s="4" t="n">
        <v>28</v>
      </c>
      <c r="E19" s="4" t="n">
        <v>21</v>
      </c>
      <c r="F19" s="4" t="n">
        <v>8</v>
      </c>
      <c r="G19" s="4" t="s">
        <v>16</v>
      </c>
      <c r="H19" s="4" t="n">
        <v>4</v>
      </c>
      <c r="I19" s="4" t="s">
        <v>19</v>
      </c>
      <c r="J19" s="5" t="n">
        <v>200</v>
      </c>
      <c r="K19" s="5" t="n">
        <v>100</v>
      </c>
      <c r="L19" s="5" t="n">
        <v>300</v>
      </c>
    </row>
    <row r="20" customFormat="false" ht="15" hidden="false" customHeight="false" outlineLevel="0" collapsed="false">
      <c r="A20" s="4" t="s">
        <v>34</v>
      </c>
      <c r="B20" s="4" t="n">
        <v>16</v>
      </c>
      <c r="C20" s="4" t="s">
        <v>15</v>
      </c>
      <c r="D20" s="4" t="n">
        <v>22</v>
      </c>
      <c r="E20" s="4" t="n">
        <v>5</v>
      </c>
      <c r="F20" s="4" t="n">
        <v>1</v>
      </c>
      <c r="G20" s="4" t="s">
        <v>16</v>
      </c>
      <c r="H20" s="4" t="n">
        <v>9</v>
      </c>
      <c r="I20" s="4" t="s">
        <v>19</v>
      </c>
      <c r="J20" s="5" t="n">
        <v>25</v>
      </c>
      <c r="K20" s="5" t="n">
        <v>125</v>
      </c>
      <c r="L20" s="5" t="n">
        <v>150</v>
      </c>
    </row>
    <row r="21" customFormat="false" ht="15" hidden="false" customHeight="false" outlineLevel="0" collapsed="false">
      <c r="A21" s="4" t="s">
        <v>35</v>
      </c>
      <c r="B21" s="4" t="n">
        <v>17</v>
      </c>
      <c r="C21" s="4" t="s">
        <v>21</v>
      </c>
      <c r="D21" s="4" t="n">
        <v>16</v>
      </c>
      <c r="E21" s="4" t="n">
        <v>16</v>
      </c>
      <c r="F21" s="4" t="n">
        <v>5</v>
      </c>
      <c r="G21" s="4" t="s">
        <v>19</v>
      </c>
      <c r="H21" s="4" t="n">
        <v>1</v>
      </c>
      <c r="I21" s="4" t="s">
        <v>16</v>
      </c>
      <c r="J21" s="5" t="n">
        <v>125</v>
      </c>
      <c r="K21" s="5" t="n">
        <v>5</v>
      </c>
      <c r="L21" s="5" t="n">
        <v>130</v>
      </c>
    </row>
    <row r="22" customFormat="false" ht="15" hidden="false" customHeight="false" outlineLevel="0" collapsed="false">
      <c r="A22" s="4" t="s">
        <v>36</v>
      </c>
      <c r="B22" s="4" t="n">
        <v>18</v>
      </c>
      <c r="C22" s="4" t="s">
        <v>18</v>
      </c>
      <c r="D22" s="4" t="n">
        <v>17</v>
      </c>
      <c r="E22" s="4" t="n">
        <v>23</v>
      </c>
      <c r="F22" s="4" t="n">
        <v>2</v>
      </c>
      <c r="G22" s="4" t="s">
        <v>16</v>
      </c>
      <c r="H22" s="4" t="n">
        <v>1</v>
      </c>
      <c r="I22" s="4" t="s">
        <v>19</v>
      </c>
      <c r="J22" s="5" t="n">
        <v>50</v>
      </c>
      <c r="K22" s="5" t="n">
        <v>85</v>
      </c>
      <c r="L22" s="5" t="n">
        <v>135</v>
      </c>
    </row>
    <row r="23" customFormat="false" ht="15" hidden="false" customHeight="false" outlineLevel="0" collapsed="false">
      <c r="A23" s="4" t="s">
        <v>37</v>
      </c>
      <c r="B23" s="4" t="n">
        <v>19</v>
      </c>
      <c r="C23" s="4" t="s">
        <v>18</v>
      </c>
      <c r="D23" s="4" t="n">
        <v>33</v>
      </c>
      <c r="E23" s="4" t="n">
        <v>13</v>
      </c>
      <c r="F23" s="4" t="n">
        <v>7</v>
      </c>
      <c r="G23" s="4" t="s">
        <v>16</v>
      </c>
      <c r="H23" s="4" t="n">
        <v>0</v>
      </c>
      <c r="I23" s="4" t="s">
        <v>16</v>
      </c>
      <c r="J23" s="5" t="n">
        <v>175</v>
      </c>
      <c r="K23" s="5" t="n">
        <v>0</v>
      </c>
      <c r="L23" s="5" t="n">
        <v>175</v>
      </c>
    </row>
    <row r="24" customFormat="false" ht="15" hidden="false" customHeight="false" outlineLevel="0" collapsed="false">
      <c r="A24" s="4" t="s">
        <v>38</v>
      </c>
      <c r="B24" s="4" t="n">
        <v>20</v>
      </c>
      <c r="C24" s="4" t="s">
        <v>18</v>
      </c>
      <c r="D24" s="4" t="n">
        <v>24</v>
      </c>
      <c r="E24" s="4" t="n">
        <v>28</v>
      </c>
      <c r="F24" s="4" t="n">
        <v>3</v>
      </c>
      <c r="G24" s="4" t="s">
        <v>16</v>
      </c>
      <c r="H24" s="4" t="n">
        <v>0</v>
      </c>
      <c r="I24" s="4" t="s">
        <v>16</v>
      </c>
      <c r="J24" s="5" t="n">
        <v>75</v>
      </c>
      <c r="K24" s="5" t="n">
        <v>0</v>
      </c>
      <c r="L24" s="5" t="n">
        <v>75</v>
      </c>
    </row>
    <row r="25" customFormat="false" ht="15" hidden="false" customHeight="false" outlineLevel="0" collapsed="false">
      <c r="A25" s="4" t="s">
        <v>39</v>
      </c>
      <c r="B25" s="4" t="n">
        <v>21</v>
      </c>
      <c r="C25" s="4" t="s">
        <v>21</v>
      </c>
      <c r="D25" s="4" t="n">
        <v>23</v>
      </c>
      <c r="E25" s="4" t="n">
        <v>2</v>
      </c>
      <c r="F25" s="4" t="n">
        <v>8</v>
      </c>
      <c r="G25" s="4" t="s">
        <v>19</v>
      </c>
      <c r="H25" s="4" t="n">
        <v>0</v>
      </c>
      <c r="I25" s="4" t="s">
        <v>16</v>
      </c>
      <c r="J25" s="5" t="n">
        <v>200</v>
      </c>
      <c r="K25" s="5" t="n">
        <v>0</v>
      </c>
      <c r="L25" s="5" t="n">
        <v>200</v>
      </c>
    </row>
    <row r="26" customFormat="false" ht="15" hidden="false" customHeight="false" outlineLevel="0" collapsed="false">
      <c r="A26" s="4" t="s">
        <v>40</v>
      </c>
      <c r="B26" s="4" t="n">
        <v>22</v>
      </c>
      <c r="C26" s="4" t="s">
        <v>15</v>
      </c>
      <c r="D26" s="4" t="n">
        <v>42</v>
      </c>
      <c r="E26" s="4" t="n">
        <v>1</v>
      </c>
      <c r="F26" s="4" t="n">
        <v>1</v>
      </c>
      <c r="G26" s="4" t="s">
        <v>16</v>
      </c>
      <c r="H26" s="4" t="n">
        <v>5</v>
      </c>
      <c r="I26" s="4" t="s">
        <v>16</v>
      </c>
      <c r="J26" s="5" t="n">
        <v>25</v>
      </c>
      <c r="K26" s="5" t="n">
        <v>25</v>
      </c>
      <c r="L26" s="5" t="n">
        <v>50</v>
      </c>
    </row>
    <row r="27" customFormat="false" ht="15" hidden="false" customHeight="false" outlineLevel="0" collapsed="false">
      <c r="A27" s="4" t="s">
        <v>41</v>
      </c>
      <c r="B27" s="4" t="n">
        <v>23</v>
      </c>
      <c r="C27" s="4" t="s">
        <v>18</v>
      </c>
      <c r="D27" s="4" t="n">
        <v>36</v>
      </c>
      <c r="E27" s="4" t="n">
        <v>13</v>
      </c>
      <c r="F27" s="4" t="n">
        <v>5</v>
      </c>
      <c r="G27" s="4" t="s">
        <v>16</v>
      </c>
      <c r="H27" s="4" t="n">
        <v>7</v>
      </c>
      <c r="I27" s="4" t="s">
        <v>16</v>
      </c>
      <c r="J27" s="5" t="n">
        <v>125</v>
      </c>
      <c r="K27" s="5" t="n">
        <v>35</v>
      </c>
      <c r="L27" s="5" t="n">
        <v>160</v>
      </c>
    </row>
    <row r="28" customFormat="false" ht="15" hidden="false" customHeight="false" outlineLevel="0" collapsed="false">
      <c r="A28" s="4" t="s">
        <v>42</v>
      </c>
      <c r="B28" s="4" t="n">
        <v>24</v>
      </c>
      <c r="C28" s="4" t="s">
        <v>15</v>
      </c>
      <c r="D28" s="4" t="n">
        <v>41</v>
      </c>
      <c r="E28" s="4" t="n">
        <v>4</v>
      </c>
      <c r="F28" s="4" t="n">
        <v>7</v>
      </c>
      <c r="G28" s="4" t="s">
        <v>19</v>
      </c>
      <c r="H28" s="4" t="n">
        <v>2</v>
      </c>
      <c r="I28" s="4" t="s">
        <v>19</v>
      </c>
      <c r="J28" s="5" t="n">
        <v>175</v>
      </c>
      <c r="K28" s="5" t="n">
        <v>90</v>
      </c>
      <c r="L28" s="5" t="n">
        <v>265</v>
      </c>
    </row>
    <row r="29" customFormat="false" ht="15" hidden="false" customHeight="false" outlineLevel="0" collapsed="false">
      <c r="A29" s="4" t="s">
        <v>43</v>
      </c>
      <c r="B29" s="4" t="n">
        <v>25</v>
      </c>
      <c r="C29" s="4" t="s">
        <v>15</v>
      </c>
      <c r="D29" s="4" t="n">
        <v>30</v>
      </c>
      <c r="E29" s="4" t="n">
        <v>15</v>
      </c>
      <c r="F29" s="4" t="n">
        <v>6</v>
      </c>
      <c r="G29" s="4" t="s">
        <v>16</v>
      </c>
      <c r="H29" s="4" t="n">
        <v>7</v>
      </c>
      <c r="I29" s="4" t="s">
        <v>19</v>
      </c>
      <c r="J29" s="5" t="n">
        <v>150</v>
      </c>
      <c r="K29" s="5" t="n">
        <v>115</v>
      </c>
      <c r="L29" s="5" t="n">
        <v>265</v>
      </c>
    </row>
    <row r="30" customFormat="false" ht="15" hidden="false" customHeight="false" outlineLevel="0" collapsed="false">
      <c r="A30" s="4" t="s">
        <v>44</v>
      </c>
      <c r="B30" s="4" t="n">
        <v>26</v>
      </c>
      <c r="C30" s="4" t="s">
        <v>15</v>
      </c>
      <c r="D30" s="4" t="n">
        <v>20</v>
      </c>
      <c r="E30" s="4" t="n">
        <v>24</v>
      </c>
      <c r="F30" s="4" t="n">
        <v>5</v>
      </c>
      <c r="G30" s="4" t="s">
        <v>19</v>
      </c>
      <c r="H30" s="4" t="n">
        <v>7</v>
      </c>
      <c r="I30" s="4" t="s">
        <v>16</v>
      </c>
      <c r="J30" s="5" t="n">
        <v>125</v>
      </c>
      <c r="K30" s="5" t="n">
        <v>35</v>
      </c>
      <c r="L30" s="5" t="n">
        <v>160</v>
      </c>
    </row>
    <row r="31" customFormat="false" ht="15" hidden="false" customHeight="false" outlineLevel="0" collapsed="false">
      <c r="A31" s="4" t="s">
        <v>45</v>
      </c>
      <c r="B31" s="4" t="n">
        <v>27</v>
      </c>
      <c r="C31" s="4" t="s">
        <v>15</v>
      </c>
      <c r="D31" s="4" t="n">
        <v>24</v>
      </c>
      <c r="E31" s="4" t="n">
        <v>1</v>
      </c>
      <c r="F31" s="4" t="n">
        <v>6</v>
      </c>
      <c r="G31" s="4" t="s">
        <v>19</v>
      </c>
      <c r="H31" s="4" t="n">
        <v>3</v>
      </c>
      <c r="I31" s="4" t="s">
        <v>16</v>
      </c>
      <c r="J31" s="5" t="n">
        <v>150</v>
      </c>
      <c r="K31" s="5" t="n">
        <v>15</v>
      </c>
      <c r="L31" s="5" t="n">
        <v>165</v>
      </c>
    </row>
    <row r="32" customFormat="false" ht="15" hidden="false" customHeight="false" outlineLevel="0" collapsed="false">
      <c r="A32" s="4" t="s">
        <v>46</v>
      </c>
      <c r="B32" s="4" t="n">
        <v>28</v>
      </c>
      <c r="C32" s="4" t="s">
        <v>21</v>
      </c>
      <c r="D32" s="4" t="n">
        <v>27</v>
      </c>
      <c r="E32" s="4" t="n">
        <v>8</v>
      </c>
      <c r="F32" s="4" t="n">
        <v>6</v>
      </c>
      <c r="G32" s="4" t="s">
        <v>19</v>
      </c>
      <c r="H32" s="4" t="n">
        <v>6</v>
      </c>
      <c r="I32" s="4" t="s">
        <v>16</v>
      </c>
      <c r="J32" s="5" t="n">
        <v>150</v>
      </c>
      <c r="K32" s="5" t="n">
        <v>30</v>
      </c>
      <c r="L32" s="5" t="n">
        <v>180</v>
      </c>
    </row>
    <row r="33" customFormat="false" ht="15" hidden="false" customHeight="false" outlineLevel="0" collapsed="false">
      <c r="A33" s="4" t="s">
        <v>47</v>
      </c>
      <c r="B33" s="4" t="n">
        <v>29</v>
      </c>
      <c r="C33" s="4" t="s">
        <v>18</v>
      </c>
      <c r="D33" s="4" t="n">
        <v>25</v>
      </c>
      <c r="E33" s="4" t="n">
        <v>6</v>
      </c>
      <c r="F33" s="4" t="n">
        <v>8</v>
      </c>
      <c r="G33" s="4" t="s">
        <v>19</v>
      </c>
      <c r="H33" s="4" t="n">
        <v>9</v>
      </c>
      <c r="I33" s="4" t="s">
        <v>16</v>
      </c>
      <c r="J33" s="5" t="n">
        <v>200</v>
      </c>
      <c r="K33" s="5" t="n">
        <v>45</v>
      </c>
      <c r="L33" s="5" t="n">
        <v>245</v>
      </c>
    </row>
    <row r="34" customFormat="false" ht="15" hidden="false" customHeight="false" outlineLevel="0" collapsed="false">
      <c r="A34" s="4" t="s">
        <v>48</v>
      </c>
      <c r="B34" s="4" t="n">
        <v>30</v>
      </c>
      <c r="C34" s="4" t="s">
        <v>18</v>
      </c>
      <c r="D34" s="4" t="n">
        <v>17</v>
      </c>
      <c r="E34" s="4" t="n">
        <v>10</v>
      </c>
      <c r="F34" s="4" t="n">
        <v>3</v>
      </c>
      <c r="G34" s="4" t="s">
        <v>19</v>
      </c>
      <c r="H34" s="4" t="n">
        <v>5</v>
      </c>
      <c r="I34" s="4" t="s">
        <v>16</v>
      </c>
      <c r="J34" s="5" t="n">
        <v>75</v>
      </c>
      <c r="K34" s="5" t="n">
        <v>25</v>
      </c>
      <c r="L34" s="5" t="n">
        <v>100</v>
      </c>
    </row>
    <row r="35" customFormat="false" ht="15" hidden="false" customHeight="false" outlineLevel="0" collapsed="false">
      <c r="A35" s="4" t="s">
        <v>49</v>
      </c>
      <c r="B35" s="4" t="n">
        <v>31</v>
      </c>
      <c r="C35" s="4" t="s">
        <v>18</v>
      </c>
      <c r="D35" s="4" t="n">
        <v>36</v>
      </c>
      <c r="E35" s="4" t="n">
        <v>16</v>
      </c>
      <c r="F35" s="4" t="n">
        <v>3</v>
      </c>
      <c r="G35" s="4" t="s">
        <v>16</v>
      </c>
      <c r="H35" s="4" t="n">
        <v>2</v>
      </c>
      <c r="I35" s="4" t="s">
        <v>16</v>
      </c>
      <c r="J35" s="5" t="n">
        <v>75</v>
      </c>
      <c r="K35" s="5" t="n">
        <v>10</v>
      </c>
      <c r="L35" s="5" t="n">
        <v>85</v>
      </c>
    </row>
    <row r="36" customFormat="false" ht="15" hidden="false" customHeight="false" outlineLevel="0" collapsed="false">
      <c r="A36" s="4" t="s">
        <v>50</v>
      </c>
      <c r="B36" s="4" t="n">
        <v>32</v>
      </c>
      <c r="C36" s="4" t="s">
        <v>21</v>
      </c>
      <c r="D36" s="4" t="n">
        <v>33</v>
      </c>
      <c r="E36" s="4" t="n">
        <v>11</v>
      </c>
      <c r="F36" s="4" t="n">
        <v>4</v>
      </c>
      <c r="G36" s="4" t="s">
        <v>16</v>
      </c>
      <c r="H36" s="4" t="n">
        <v>0</v>
      </c>
      <c r="I36" s="4" t="s">
        <v>16</v>
      </c>
      <c r="J36" s="5" t="n">
        <v>100</v>
      </c>
      <c r="K36" s="5" t="n">
        <v>0</v>
      </c>
      <c r="L36" s="5" t="n">
        <v>100</v>
      </c>
    </row>
    <row r="37" customFormat="false" ht="15" hidden="false" customHeight="false" outlineLevel="0" collapsed="false">
      <c r="A37" s="4" t="s">
        <v>51</v>
      </c>
      <c r="B37" s="4" t="n">
        <v>33</v>
      </c>
      <c r="C37" s="4" t="s">
        <v>15</v>
      </c>
      <c r="D37" s="4" t="n">
        <v>36</v>
      </c>
      <c r="E37" s="4" t="n">
        <v>21</v>
      </c>
      <c r="F37" s="4" t="n">
        <v>7</v>
      </c>
      <c r="G37" s="4" t="s">
        <v>19</v>
      </c>
      <c r="H37" s="4" t="n">
        <v>0</v>
      </c>
      <c r="I37" s="4" t="s">
        <v>16</v>
      </c>
      <c r="J37" s="5" t="n">
        <v>175</v>
      </c>
      <c r="K37" s="5" t="n">
        <v>0</v>
      </c>
      <c r="L37" s="5" t="n">
        <v>175</v>
      </c>
    </row>
    <row r="38" customFormat="false" ht="15" hidden="false" customHeight="false" outlineLevel="0" collapsed="false">
      <c r="A38" s="4" t="s">
        <v>52</v>
      </c>
      <c r="B38" s="4" t="n">
        <v>34</v>
      </c>
      <c r="C38" s="4" t="s">
        <v>21</v>
      </c>
      <c r="D38" s="4" t="n">
        <v>25</v>
      </c>
      <c r="E38" s="4" t="n">
        <v>20</v>
      </c>
      <c r="F38" s="4" t="n">
        <v>6</v>
      </c>
      <c r="G38" s="4" t="s">
        <v>19</v>
      </c>
      <c r="H38" s="4" t="n">
        <v>1</v>
      </c>
      <c r="I38" s="4" t="s">
        <v>16</v>
      </c>
      <c r="J38" s="5" t="n">
        <v>150</v>
      </c>
      <c r="K38" s="5" t="n">
        <v>5</v>
      </c>
      <c r="L38" s="5" t="n">
        <v>155</v>
      </c>
    </row>
    <row r="39" customFormat="false" ht="15" hidden="false" customHeight="false" outlineLevel="0" collapsed="false">
      <c r="A39" s="4" t="s">
        <v>53</v>
      </c>
      <c r="B39" s="4" t="n">
        <v>35</v>
      </c>
      <c r="C39" s="4" t="s">
        <v>18</v>
      </c>
      <c r="D39" s="4" t="n">
        <v>19</v>
      </c>
      <c r="E39" s="4" t="n">
        <v>2</v>
      </c>
      <c r="F39" s="4" t="n">
        <v>2</v>
      </c>
      <c r="G39" s="4" t="s">
        <v>19</v>
      </c>
      <c r="H39" s="4" t="n">
        <v>8</v>
      </c>
      <c r="I39" s="4" t="s">
        <v>16</v>
      </c>
      <c r="J39" s="5" t="n">
        <v>50</v>
      </c>
      <c r="K39" s="5" t="n">
        <v>40</v>
      </c>
      <c r="L39" s="5" t="n">
        <v>90</v>
      </c>
    </row>
    <row r="40" customFormat="false" ht="15" hidden="false" customHeight="false" outlineLevel="0" collapsed="false">
      <c r="A40" s="4" t="s">
        <v>54</v>
      </c>
      <c r="B40" s="4" t="n">
        <v>36</v>
      </c>
      <c r="C40" s="4" t="s">
        <v>18</v>
      </c>
      <c r="D40" s="4" t="n">
        <v>28</v>
      </c>
      <c r="E40" s="4" t="n">
        <v>1</v>
      </c>
      <c r="F40" s="4" t="n">
        <v>2</v>
      </c>
      <c r="G40" s="4" t="s">
        <v>16</v>
      </c>
      <c r="H40" s="4" t="n">
        <v>0</v>
      </c>
      <c r="I40" s="4" t="s">
        <v>19</v>
      </c>
      <c r="J40" s="5" t="n">
        <v>50</v>
      </c>
      <c r="K40" s="5" t="n">
        <v>80</v>
      </c>
      <c r="L40" s="5" t="n">
        <v>130</v>
      </c>
    </row>
    <row r="41" customFormat="false" ht="15" hidden="false" customHeight="false" outlineLevel="0" collapsed="false">
      <c r="A41" s="4" t="s">
        <v>55</v>
      </c>
      <c r="B41" s="4" t="n">
        <v>37</v>
      </c>
      <c r="C41" s="4" t="s">
        <v>21</v>
      </c>
      <c r="D41" s="4" t="n">
        <v>18</v>
      </c>
      <c r="E41" s="4" t="n">
        <v>10</v>
      </c>
      <c r="F41" s="4" t="n">
        <v>2</v>
      </c>
      <c r="G41" s="4" t="s">
        <v>16</v>
      </c>
      <c r="H41" s="4" t="n">
        <v>2</v>
      </c>
      <c r="I41" s="4" t="s">
        <v>16</v>
      </c>
      <c r="J41" s="5" t="n">
        <v>50</v>
      </c>
      <c r="K41" s="5" t="n">
        <v>10</v>
      </c>
      <c r="L41" s="5" t="n">
        <v>60</v>
      </c>
    </row>
    <row r="42" customFormat="false" ht="15" hidden="false" customHeight="false" outlineLevel="0" collapsed="false">
      <c r="A42" s="4" t="s">
        <v>56</v>
      </c>
      <c r="B42" s="4" t="n">
        <v>38</v>
      </c>
      <c r="C42" s="4" t="s">
        <v>18</v>
      </c>
      <c r="D42" s="4" t="n">
        <v>42</v>
      </c>
      <c r="E42" s="4" t="n">
        <v>17</v>
      </c>
      <c r="F42" s="4" t="n">
        <v>8</v>
      </c>
      <c r="G42" s="4" t="s">
        <v>16</v>
      </c>
      <c r="H42" s="4" t="n">
        <v>9</v>
      </c>
      <c r="I42" s="4" t="s">
        <v>16</v>
      </c>
      <c r="J42" s="5" t="n">
        <v>200</v>
      </c>
      <c r="K42" s="5" t="n">
        <v>45</v>
      </c>
      <c r="L42" s="5" t="n">
        <v>245</v>
      </c>
    </row>
    <row r="43" customFormat="false" ht="15" hidden="false" customHeight="false" outlineLevel="0" collapsed="false">
      <c r="A43" s="4" t="s">
        <v>57</v>
      </c>
      <c r="B43" s="4" t="n">
        <v>39</v>
      </c>
      <c r="C43" s="4" t="s">
        <v>15</v>
      </c>
      <c r="D43" s="4" t="n">
        <v>33</v>
      </c>
      <c r="E43" s="4" t="n">
        <v>22</v>
      </c>
      <c r="F43" s="4" t="n">
        <v>4</v>
      </c>
      <c r="G43" s="4" t="s">
        <v>19</v>
      </c>
      <c r="H43" s="4" t="n">
        <v>8</v>
      </c>
      <c r="I43" s="4" t="s">
        <v>16</v>
      </c>
      <c r="J43" s="5" t="n">
        <v>100</v>
      </c>
      <c r="K43" s="5" t="n">
        <v>40</v>
      </c>
      <c r="L43" s="5" t="n">
        <v>140</v>
      </c>
    </row>
    <row r="44" customFormat="false" ht="15" hidden="false" customHeight="false" outlineLevel="0" collapsed="false">
      <c r="A44" s="4" t="s">
        <v>58</v>
      </c>
      <c r="B44" s="4" t="n">
        <v>40</v>
      </c>
      <c r="C44" s="4" t="s">
        <v>21</v>
      </c>
      <c r="D44" s="4" t="n">
        <v>23</v>
      </c>
      <c r="E44" s="4" t="n">
        <v>14</v>
      </c>
      <c r="F44" s="4" t="n">
        <v>6</v>
      </c>
      <c r="G44" s="4" t="s">
        <v>16</v>
      </c>
      <c r="H44" s="4" t="n">
        <v>10</v>
      </c>
      <c r="I44" s="4" t="s">
        <v>16</v>
      </c>
      <c r="J44" s="5" t="n">
        <v>150</v>
      </c>
      <c r="K44" s="5" t="n">
        <v>50</v>
      </c>
      <c r="L44" s="5" t="n">
        <v>200</v>
      </c>
    </row>
    <row r="45" customFormat="false" ht="15" hidden="false" customHeight="false" outlineLevel="0" collapsed="false">
      <c r="A45" s="4" t="s">
        <v>59</v>
      </c>
      <c r="B45" s="4" t="n">
        <v>41</v>
      </c>
      <c r="C45" s="4" t="s">
        <v>18</v>
      </c>
      <c r="D45" s="4" t="n">
        <v>17</v>
      </c>
      <c r="E45" s="4" t="n">
        <v>2</v>
      </c>
      <c r="F45" s="4" t="n">
        <v>6</v>
      </c>
      <c r="G45" s="4" t="s">
        <v>16</v>
      </c>
      <c r="H45" s="4" t="n">
        <v>0</v>
      </c>
      <c r="I45" s="4" t="s">
        <v>19</v>
      </c>
      <c r="J45" s="5" t="n">
        <v>150</v>
      </c>
      <c r="K45" s="5" t="n">
        <v>80</v>
      </c>
      <c r="L45" s="5" t="n">
        <v>230</v>
      </c>
    </row>
    <row r="46" customFormat="false" ht="15" hidden="false" customHeight="false" outlineLevel="0" collapsed="false">
      <c r="A46" s="4" t="s">
        <v>60</v>
      </c>
      <c r="B46" s="4" t="n">
        <v>42</v>
      </c>
      <c r="C46" s="4" t="s">
        <v>15</v>
      </c>
      <c r="D46" s="4" t="n">
        <v>23</v>
      </c>
      <c r="E46" s="4" t="n">
        <v>20</v>
      </c>
      <c r="F46" s="4" t="n">
        <v>2</v>
      </c>
      <c r="G46" s="4" t="s">
        <v>19</v>
      </c>
      <c r="H46" s="4" t="n">
        <v>5</v>
      </c>
      <c r="I46" s="4" t="s">
        <v>19</v>
      </c>
      <c r="J46" s="5" t="n">
        <v>50</v>
      </c>
      <c r="K46" s="5" t="n">
        <v>105</v>
      </c>
      <c r="L46" s="5" t="n">
        <v>155</v>
      </c>
    </row>
    <row r="47" customFormat="false" ht="15" hidden="false" customHeight="false" outlineLevel="0" collapsed="false">
      <c r="A47" s="4" t="s">
        <v>61</v>
      </c>
      <c r="B47" s="4" t="n">
        <v>43</v>
      </c>
      <c r="C47" s="4" t="s">
        <v>18</v>
      </c>
      <c r="D47" s="4" t="n">
        <v>23</v>
      </c>
      <c r="E47" s="4" t="n">
        <v>8</v>
      </c>
      <c r="F47" s="4" t="n">
        <v>4</v>
      </c>
      <c r="G47" s="4" t="s">
        <v>19</v>
      </c>
      <c r="H47" s="4" t="n">
        <v>5</v>
      </c>
      <c r="I47" s="4" t="s">
        <v>16</v>
      </c>
      <c r="J47" s="5" t="n">
        <v>100</v>
      </c>
      <c r="K47" s="5" t="n">
        <v>25</v>
      </c>
      <c r="L47" s="5" t="n">
        <v>125</v>
      </c>
    </row>
    <row r="48" customFormat="false" ht="15" hidden="false" customHeight="false" outlineLevel="0" collapsed="false">
      <c r="A48" s="4" t="s">
        <v>62</v>
      </c>
      <c r="B48" s="4" t="n">
        <v>44</v>
      </c>
      <c r="C48" s="4" t="s">
        <v>15</v>
      </c>
      <c r="D48" s="4" t="n">
        <v>17</v>
      </c>
      <c r="E48" s="4" t="n">
        <v>1</v>
      </c>
      <c r="F48" s="4" t="n">
        <v>5</v>
      </c>
      <c r="G48" s="4" t="s">
        <v>19</v>
      </c>
      <c r="H48" s="4" t="n">
        <v>5</v>
      </c>
      <c r="I48" s="4" t="s">
        <v>16</v>
      </c>
      <c r="J48" s="5" t="n">
        <v>125</v>
      </c>
      <c r="K48" s="5" t="n">
        <v>25</v>
      </c>
      <c r="L48" s="5" t="n">
        <v>150</v>
      </c>
    </row>
    <row r="49" customFormat="false" ht="15" hidden="false" customHeight="false" outlineLevel="0" collapsed="false">
      <c r="A49" s="4" t="s">
        <v>63</v>
      </c>
      <c r="B49" s="4" t="n">
        <v>45</v>
      </c>
      <c r="C49" s="4" t="s">
        <v>18</v>
      </c>
      <c r="D49" s="4" t="n">
        <v>25</v>
      </c>
      <c r="E49" s="4" t="n">
        <v>30</v>
      </c>
      <c r="F49" s="4" t="n">
        <v>3</v>
      </c>
      <c r="G49" s="4" t="s">
        <v>16</v>
      </c>
      <c r="H49" s="4" t="n">
        <v>5</v>
      </c>
      <c r="I49" s="4" t="s">
        <v>19</v>
      </c>
      <c r="J49" s="5" t="n">
        <v>75</v>
      </c>
      <c r="K49" s="5" t="n">
        <v>105</v>
      </c>
      <c r="L49" s="5" t="n">
        <v>180</v>
      </c>
    </row>
    <row r="50" customFormat="false" ht="15" hidden="false" customHeight="false" outlineLevel="0" collapsed="false">
      <c r="A50" s="4" t="s">
        <v>64</v>
      </c>
      <c r="B50" s="4" t="n">
        <v>46</v>
      </c>
      <c r="C50" s="4" t="s">
        <v>21</v>
      </c>
      <c r="D50" s="4" t="n">
        <v>40</v>
      </c>
      <c r="E50" s="4" t="n">
        <v>7</v>
      </c>
      <c r="F50" s="4" t="n">
        <v>3</v>
      </c>
      <c r="G50" s="4" t="s">
        <v>19</v>
      </c>
      <c r="H50" s="4" t="n">
        <v>1</v>
      </c>
      <c r="I50" s="4" t="s">
        <v>19</v>
      </c>
      <c r="J50" s="5" t="n">
        <v>75</v>
      </c>
      <c r="K50" s="5" t="n">
        <v>85</v>
      </c>
      <c r="L50" s="5" t="n">
        <v>160</v>
      </c>
    </row>
    <row r="51" customFormat="false" ht="15" hidden="false" customHeight="false" outlineLevel="0" collapsed="false">
      <c r="A51" s="4" t="s">
        <v>65</v>
      </c>
      <c r="B51" s="4" t="n">
        <v>47</v>
      </c>
      <c r="C51" s="4" t="s">
        <v>15</v>
      </c>
      <c r="D51" s="4" t="n">
        <v>38</v>
      </c>
      <c r="E51" s="4" t="n">
        <v>18</v>
      </c>
      <c r="F51" s="4" t="n">
        <v>7</v>
      </c>
      <c r="G51" s="4" t="s">
        <v>16</v>
      </c>
      <c r="H51" s="4" t="n">
        <v>5</v>
      </c>
      <c r="I51" s="4" t="s">
        <v>16</v>
      </c>
      <c r="J51" s="5" t="n">
        <v>175</v>
      </c>
      <c r="K51" s="5" t="n">
        <v>25</v>
      </c>
      <c r="L51" s="5" t="n">
        <v>200</v>
      </c>
    </row>
    <row r="52" customFormat="false" ht="15" hidden="false" customHeight="false" outlineLevel="0" collapsed="false">
      <c r="A52" s="4" t="s">
        <v>66</v>
      </c>
      <c r="B52" s="4" t="n">
        <v>48</v>
      </c>
      <c r="C52" s="4" t="s">
        <v>15</v>
      </c>
      <c r="D52" s="4" t="n">
        <v>44</v>
      </c>
      <c r="E52" s="4" t="n">
        <v>28</v>
      </c>
      <c r="F52" s="4" t="n">
        <v>2</v>
      </c>
      <c r="G52" s="4" t="s">
        <v>16</v>
      </c>
      <c r="H52" s="4" t="n">
        <v>3</v>
      </c>
      <c r="I52" s="4" t="s">
        <v>16</v>
      </c>
      <c r="J52" s="5" t="n">
        <v>50</v>
      </c>
      <c r="K52" s="5" t="n">
        <v>15</v>
      </c>
      <c r="L52" s="5" t="n">
        <v>65</v>
      </c>
    </row>
    <row r="53" customFormat="false" ht="15" hidden="false" customHeight="false" outlineLevel="0" collapsed="false">
      <c r="A53" s="4" t="s">
        <v>67</v>
      </c>
      <c r="B53" s="4" t="n">
        <v>49</v>
      </c>
      <c r="C53" s="4" t="s">
        <v>21</v>
      </c>
      <c r="D53" s="4" t="n">
        <v>36</v>
      </c>
      <c r="E53" s="4" t="n">
        <v>26</v>
      </c>
      <c r="F53" s="4" t="n">
        <v>2</v>
      </c>
      <c r="G53" s="4" t="s">
        <v>19</v>
      </c>
      <c r="H53" s="4" t="n">
        <v>2</v>
      </c>
      <c r="I53" s="4" t="s">
        <v>16</v>
      </c>
      <c r="J53" s="5" t="n">
        <v>50</v>
      </c>
      <c r="K53" s="5" t="n">
        <v>10</v>
      </c>
      <c r="L53" s="5" t="n">
        <v>60</v>
      </c>
    </row>
    <row r="54" customFormat="false" ht="15" hidden="false" customHeight="false" outlineLevel="0" collapsed="false">
      <c r="A54" s="4" t="s">
        <v>68</v>
      </c>
      <c r="B54" s="4" t="n">
        <v>50</v>
      </c>
      <c r="C54" s="4" t="s">
        <v>18</v>
      </c>
      <c r="D54" s="4" t="n">
        <v>37</v>
      </c>
      <c r="E54" s="4" t="n">
        <v>28</v>
      </c>
      <c r="F54" s="4" t="n">
        <v>7</v>
      </c>
      <c r="G54" s="4" t="s">
        <v>16</v>
      </c>
      <c r="H54" s="4" t="n">
        <v>3</v>
      </c>
      <c r="I54" s="4" t="s">
        <v>16</v>
      </c>
      <c r="J54" s="5" t="n">
        <v>175</v>
      </c>
      <c r="K54" s="5" t="n">
        <v>15</v>
      </c>
      <c r="L54" s="5" t="n">
        <v>190</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6" min="1" style="0" width="13"/>
  </cols>
  <sheetData>
    <row r="1" customFormat="false" ht="21.75" hidden="false" customHeight="true" outlineLevel="0" collapsed="false">
      <c r="A1" s="1" t="s">
        <v>69</v>
      </c>
      <c r="B1" s="1"/>
      <c r="C1" s="1"/>
      <c r="D1" s="1"/>
      <c r="E1" s="1"/>
      <c r="F1" s="1"/>
      <c r="G1" s="1"/>
      <c r="H1" s="1"/>
      <c r="I1" s="1"/>
      <c r="J1" s="1"/>
      <c r="K1" s="1"/>
      <c r="L1" s="1"/>
      <c r="M1" s="1"/>
      <c r="N1" s="1"/>
      <c r="O1" s="1"/>
      <c r="P1" s="1"/>
    </row>
    <row r="2" customFormat="false" ht="15" hidden="false" customHeight="false" outlineLevel="0" collapsed="false">
      <c r="A2" s="2" t="s">
        <v>70</v>
      </c>
      <c r="B2" s="2"/>
      <c r="C2" s="2"/>
      <c r="D2" s="2"/>
      <c r="E2" s="2"/>
      <c r="F2" s="2"/>
      <c r="G2" s="2"/>
      <c r="H2" s="2"/>
      <c r="I2" s="2"/>
      <c r="J2" s="2"/>
      <c r="K2" s="2"/>
      <c r="L2" s="2"/>
      <c r="M2" s="2"/>
      <c r="N2" s="2"/>
      <c r="O2" s="2"/>
      <c r="P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71</v>
      </c>
      <c r="N4" s="3" t="s">
        <v>72</v>
      </c>
      <c r="O4" s="3" t="s">
        <v>73</v>
      </c>
      <c r="P4" s="3" t="s">
        <v>74</v>
      </c>
    </row>
    <row r="5" customFormat="false" ht="15" hidden="false" customHeight="false" outlineLevel="0" collapsed="false">
      <c r="A5" s="4" t="s">
        <v>14</v>
      </c>
      <c r="B5" s="4" t="n">
        <v>1</v>
      </c>
      <c r="C5" s="4" t="s">
        <v>15</v>
      </c>
      <c r="D5" s="4" t="n">
        <v>20</v>
      </c>
      <c r="E5" s="4" t="n">
        <v>29</v>
      </c>
      <c r="F5" s="4" t="n">
        <v>7</v>
      </c>
      <c r="G5" s="4" t="s">
        <v>16</v>
      </c>
      <c r="H5" s="4" t="n">
        <v>6</v>
      </c>
      <c r="I5" s="4" t="s">
        <v>16</v>
      </c>
      <c r="J5" s="5" t="n">
        <v>175</v>
      </c>
      <c r="K5" s="5" t="n">
        <v>30</v>
      </c>
      <c r="L5" s="5" t="n">
        <v>205</v>
      </c>
      <c r="M5" s="4" t="str">
        <f aca="false">CHOOSE(MOD(B5-1,7)+1,"Monday","Tuesday","Wednesday","Thursday","Friday","Saturday","Sunday")</f>
        <v>Monday</v>
      </c>
      <c r="N5" s="4" t="str">
        <f aca="false">IF(J5+K5=L5,"OK","MISMATCH")</f>
        <v>OK</v>
      </c>
      <c r="O5" s="4" t="str">
        <f aca="false">IF(COUNTIF($A$5:$A$54,A5)&gt;1,"DUPLICATE","Unique")</f>
        <v>Unique</v>
      </c>
      <c r="P5" s="4" t="n">
        <f aca="false">RANK(L5,Cleaned_Data!$L$5:$L$54,0)+COUNTIF(Cleaned_Data!$L$5:L5,L5)-1</f>
        <v>14</v>
      </c>
    </row>
    <row r="6" customFormat="false" ht="15" hidden="false" customHeight="false" outlineLevel="0" collapsed="false">
      <c r="A6" s="4" t="s">
        <v>17</v>
      </c>
      <c r="B6" s="4" t="n">
        <v>2</v>
      </c>
      <c r="C6" s="4" t="s">
        <v>18</v>
      </c>
      <c r="D6" s="4" t="n">
        <v>18</v>
      </c>
      <c r="E6" s="4" t="n">
        <v>17</v>
      </c>
      <c r="F6" s="4" t="n">
        <v>2</v>
      </c>
      <c r="G6" s="4" t="s">
        <v>16</v>
      </c>
      <c r="H6" s="4" t="n">
        <v>0</v>
      </c>
      <c r="I6" s="4" t="s">
        <v>19</v>
      </c>
      <c r="J6" s="5" t="n">
        <v>50</v>
      </c>
      <c r="K6" s="5" t="n">
        <v>80</v>
      </c>
      <c r="L6" s="5" t="n">
        <v>130</v>
      </c>
      <c r="M6" s="4" t="str">
        <f aca="false">CHOOSE(MOD(B6-1,7)+1,"Monday","Tuesday","Wednesday","Thursday","Friday","Saturday","Sunday")</f>
        <v>Tuesday</v>
      </c>
      <c r="N6" s="4" t="str">
        <f aca="false">IF(J6+K6=L6,"OK","MISMATCH")</f>
        <v>OK</v>
      </c>
      <c r="O6" s="4" t="str">
        <f aca="false">IF(COUNTIF($A$5:$A$54,A6)&gt;1,"DUPLICATE","Unique")</f>
        <v>Unique</v>
      </c>
      <c r="P6" s="4" t="n">
        <f aca="false">RANK(L6,Cleaned_Data!$L$5:$L$54,0)+COUNTIF(Cleaned_Data!$L$5:L6,L6)-1</f>
        <v>36</v>
      </c>
    </row>
    <row r="7" customFormat="false" ht="15" hidden="false" customHeight="false" outlineLevel="0" collapsed="false">
      <c r="A7" s="4" t="s">
        <v>20</v>
      </c>
      <c r="B7" s="4" t="n">
        <v>3</v>
      </c>
      <c r="C7" s="4" t="s">
        <v>21</v>
      </c>
      <c r="D7" s="4" t="n">
        <v>42</v>
      </c>
      <c r="E7" s="4" t="n">
        <v>4</v>
      </c>
      <c r="F7" s="4" t="n">
        <v>4</v>
      </c>
      <c r="G7" s="4" t="s">
        <v>19</v>
      </c>
      <c r="H7" s="4" t="n">
        <v>10</v>
      </c>
      <c r="I7" s="4" t="s">
        <v>16</v>
      </c>
      <c r="J7" s="5" t="n">
        <v>100</v>
      </c>
      <c r="K7" s="5" t="n">
        <v>50</v>
      </c>
      <c r="L7" s="5" t="n">
        <v>150</v>
      </c>
      <c r="M7" s="4" t="str">
        <f aca="false">CHOOSE(MOD(B7-1,7)+1,"Monday","Tuesday","Wednesday","Thursday","Friday","Saturday","Sunday")</f>
        <v>Wednesday</v>
      </c>
      <c r="N7" s="4" t="str">
        <f aca="false">IF(J7+K7=L7,"OK","MISMATCH")</f>
        <v>OK</v>
      </c>
      <c r="O7" s="4" t="str">
        <f aca="false">IF(COUNTIF($A$5:$A$54,A7)&gt;1,"DUPLICATE","Unique")</f>
        <v>Unique</v>
      </c>
      <c r="P7" s="4" t="n">
        <f aca="false">RANK(L7,Cleaned_Data!$L$5:$L$54,0)+COUNTIF(Cleaned_Data!$L$5:L7,L7)-1</f>
        <v>30</v>
      </c>
    </row>
    <row r="8" customFormat="false" ht="15" hidden="false" customHeight="false" outlineLevel="0" collapsed="false">
      <c r="A8" s="4" t="s">
        <v>22</v>
      </c>
      <c r="B8" s="4" t="n">
        <v>4</v>
      </c>
      <c r="C8" s="4" t="s">
        <v>21</v>
      </c>
      <c r="D8" s="4" t="n">
        <v>28</v>
      </c>
      <c r="E8" s="4" t="n">
        <v>10</v>
      </c>
      <c r="F8" s="4" t="n">
        <v>3</v>
      </c>
      <c r="G8" s="4" t="s">
        <v>16</v>
      </c>
      <c r="H8" s="4" t="n">
        <v>6</v>
      </c>
      <c r="I8" s="4" t="s">
        <v>16</v>
      </c>
      <c r="J8" s="5" t="n">
        <v>75</v>
      </c>
      <c r="K8" s="5" t="n">
        <v>30</v>
      </c>
      <c r="L8" s="5" t="n">
        <v>105</v>
      </c>
      <c r="M8" s="4" t="str">
        <f aca="false">CHOOSE(MOD(B8-1,7)+1,"Monday","Tuesday","Wednesday","Thursday","Friday","Saturday","Sunday")</f>
        <v>Thursday</v>
      </c>
      <c r="N8" s="4" t="str">
        <f aca="false">IF(J8+K8=L8,"OK","MISMATCH")</f>
        <v>OK</v>
      </c>
      <c r="O8" s="4" t="str">
        <f aca="false">IF(COUNTIF($A$5:$A$54,A8)&gt;1,"DUPLICATE","Unique")</f>
        <v>Unique</v>
      </c>
      <c r="P8" s="4" t="n">
        <f aca="false">RANK(L8,Cleaned_Data!$L$5:$L$54,0)+COUNTIF(Cleaned_Data!$L$5:L8,L8)-1</f>
        <v>41</v>
      </c>
    </row>
    <row r="9" customFormat="false" ht="15" hidden="false" customHeight="false" outlineLevel="0" collapsed="false">
      <c r="A9" s="4" t="s">
        <v>23</v>
      </c>
      <c r="B9" s="4" t="n">
        <v>5</v>
      </c>
      <c r="C9" s="4" t="s">
        <v>21</v>
      </c>
      <c r="D9" s="4" t="n">
        <v>22</v>
      </c>
      <c r="E9" s="4" t="n">
        <v>30</v>
      </c>
      <c r="F9" s="4" t="n">
        <v>6</v>
      </c>
      <c r="G9" s="4" t="s">
        <v>19</v>
      </c>
      <c r="H9" s="4" t="n">
        <v>2</v>
      </c>
      <c r="I9" s="4" t="s">
        <v>16</v>
      </c>
      <c r="J9" s="5" t="n">
        <v>150</v>
      </c>
      <c r="K9" s="5" t="n">
        <v>10</v>
      </c>
      <c r="L9" s="5" t="n">
        <v>160</v>
      </c>
      <c r="M9" s="4" t="str">
        <f aca="false">CHOOSE(MOD(B9-1,7)+1,"Monday","Tuesday","Wednesday","Thursday","Friday","Saturday","Sunday")</f>
        <v>Friday</v>
      </c>
      <c r="N9" s="4" t="str">
        <f aca="false">IF(J9+K9=L9,"OK","MISMATCH")</f>
        <v>OK</v>
      </c>
      <c r="O9" s="4" t="str">
        <f aca="false">IF(COUNTIF($A$5:$A$54,A9)&gt;1,"DUPLICATE","Unique")</f>
        <v>Unique</v>
      </c>
      <c r="P9" s="4" t="n">
        <f aca="false">RANK(L9,Cleaned_Data!$L$5:$L$54,0)+COUNTIF(Cleaned_Data!$L$5:L9,L9)-1</f>
        <v>24</v>
      </c>
    </row>
    <row r="10" customFormat="false" ht="15" hidden="false" customHeight="false" outlineLevel="0" collapsed="false">
      <c r="A10" s="4" t="s">
        <v>24</v>
      </c>
      <c r="B10" s="4" t="n">
        <v>6</v>
      </c>
      <c r="C10" s="4" t="s">
        <v>18</v>
      </c>
      <c r="D10" s="4" t="n">
        <v>38</v>
      </c>
      <c r="E10" s="4" t="n">
        <v>4</v>
      </c>
      <c r="F10" s="4" t="n">
        <v>4</v>
      </c>
      <c r="G10" s="4" t="s">
        <v>16</v>
      </c>
      <c r="H10" s="4" t="n">
        <v>2</v>
      </c>
      <c r="I10" s="4" t="s">
        <v>16</v>
      </c>
      <c r="J10" s="5" t="n">
        <v>100</v>
      </c>
      <c r="K10" s="5" t="n">
        <v>10</v>
      </c>
      <c r="L10" s="5" t="n">
        <v>110</v>
      </c>
      <c r="M10" s="4" t="str">
        <f aca="false">CHOOSE(MOD(B10-1,7)+1,"Monday","Tuesday","Wednesday","Thursday","Friday","Saturday","Sunday")</f>
        <v>Saturday</v>
      </c>
      <c r="N10" s="4" t="str">
        <f aca="false">IF(J10+K10=L10,"OK","MISMATCH")</f>
        <v>OK</v>
      </c>
      <c r="O10" s="4" t="str">
        <f aca="false">IF(COUNTIF($A$5:$A$54,A10)&gt;1,"DUPLICATE","Unique")</f>
        <v>Unique</v>
      </c>
      <c r="P10" s="4" t="n">
        <f aca="false">RANK(L10,Cleaned_Data!$L$5:$L$54,0)+COUNTIF(Cleaned_Data!$L$5:L10,L10)-1</f>
        <v>40</v>
      </c>
    </row>
    <row r="11" customFormat="false" ht="15" hidden="false" customHeight="false" outlineLevel="0" collapsed="false">
      <c r="A11" s="4" t="s">
        <v>25</v>
      </c>
      <c r="B11" s="4" t="n">
        <v>7</v>
      </c>
      <c r="C11" s="4" t="s">
        <v>18</v>
      </c>
      <c r="D11" s="4" t="n">
        <v>28</v>
      </c>
      <c r="E11" s="4" t="n">
        <v>12</v>
      </c>
      <c r="F11" s="4" t="n">
        <v>4</v>
      </c>
      <c r="G11" s="4" t="s">
        <v>16</v>
      </c>
      <c r="H11" s="4" t="n">
        <v>8</v>
      </c>
      <c r="I11" s="4" t="s">
        <v>16</v>
      </c>
      <c r="J11" s="5" t="n">
        <v>100</v>
      </c>
      <c r="K11" s="5" t="n">
        <v>40</v>
      </c>
      <c r="L11" s="5" t="n">
        <v>140</v>
      </c>
      <c r="M11" s="4" t="str">
        <f aca="false">CHOOSE(MOD(B11-1,7)+1,"Monday","Tuesday","Wednesday","Thursday","Friday","Saturday","Sunday")</f>
        <v>Sunday</v>
      </c>
      <c r="N11" s="4" t="str">
        <f aca="false">IF(J11+K11=L11,"OK","MISMATCH")</f>
        <v>OK</v>
      </c>
      <c r="O11" s="4" t="str">
        <f aca="false">IF(COUNTIF($A$5:$A$54,A11)&gt;1,"DUPLICATE","Unique")</f>
        <v>Unique</v>
      </c>
      <c r="P11" s="4" t="n">
        <f aca="false">RANK(L11,Cleaned_Data!$L$5:$L$54,0)+COUNTIF(Cleaned_Data!$L$5:L11,L11)-1</f>
        <v>33</v>
      </c>
    </row>
    <row r="12" customFormat="false" ht="15" hidden="false" customHeight="false" outlineLevel="0" collapsed="false">
      <c r="A12" s="4" t="s">
        <v>26</v>
      </c>
      <c r="B12" s="4" t="n">
        <v>8</v>
      </c>
      <c r="C12" s="4" t="s">
        <v>18</v>
      </c>
      <c r="D12" s="4" t="n">
        <v>39</v>
      </c>
      <c r="E12" s="4" t="n">
        <v>22</v>
      </c>
      <c r="F12" s="4" t="n">
        <v>5</v>
      </c>
      <c r="G12" s="4" t="s">
        <v>16</v>
      </c>
      <c r="H12" s="4" t="n">
        <v>8</v>
      </c>
      <c r="I12" s="4" t="s">
        <v>19</v>
      </c>
      <c r="J12" s="5" t="n">
        <v>125</v>
      </c>
      <c r="K12" s="5" t="n">
        <v>120</v>
      </c>
      <c r="L12" s="5" t="n">
        <v>245</v>
      </c>
      <c r="M12" s="4" t="str">
        <f aca="false">CHOOSE(MOD(B12-1,7)+1,"Monday","Tuesday","Wednesday","Thursday","Friday","Saturday","Sunday")</f>
        <v>Monday</v>
      </c>
      <c r="N12" s="4" t="str">
        <f aca="false">IF(J12+K12=L12,"OK","MISMATCH")</f>
        <v>OK</v>
      </c>
      <c r="O12" s="4" t="str">
        <f aca="false">IF(COUNTIF($A$5:$A$54,A12)&gt;1,"DUPLICATE","Unique")</f>
        <v>Unique</v>
      </c>
      <c r="P12" s="4" t="n">
        <f aca="false">RANK(L12,Cleaned_Data!$L$5:$L$54,0)+COUNTIF(Cleaned_Data!$L$5:L12,L12)-1</f>
        <v>5</v>
      </c>
    </row>
    <row r="13" customFormat="false" ht="15" hidden="false" customHeight="false" outlineLevel="0" collapsed="false">
      <c r="A13" s="4" t="s">
        <v>27</v>
      </c>
      <c r="B13" s="4" t="n">
        <v>9</v>
      </c>
      <c r="C13" s="4" t="s">
        <v>21</v>
      </c>
      <c r="D13" s="4" t="n">
        <v>16</v>
      </c>
      <c r="E13" s="4" t="n">
        <v>24</v>
      </c>
      <c r="F13" s="4" t="n">
        <v>5</v>
      </c>
      <c r="G13" s="4" t="s">
        <v>19</v>
      </c>
      <c r="H13" s="4" t="n">
        <v>8</v>
      </c>
      <c r="I13" s="4" t="s">
        <v>19</v>
      </c>
      <c r="J13" s="5" t="n">
        <v>125</v>
      </c>
      <c r="K13" s="5" t="n">
        <v>120</v>
      </c>
      <c r="L13" s="5" t="n">
        <v>245</v>
      </c>
      <c r="M13" s="4" t="str">
        <f aca="false">CHOOSE(MOD(B13-1,7)+1,"Monday","Tuesday","Wednesday","Thursday","Friday","Saturday","Sunday")</f>
        <v>Tuesday</v>
      </c>
      <c r="N13" s="4" t="str">
        <f aca="false">IF(J13+K13=L13,"OK","MISMATCH")</f>
        <v>OK</v>
      </c>
      <c r="O13" s="4" t="str">
        <f aca="false">IF(COUNTIF($A$5:$A$54,A13)&gt;1,"DUPLICATE","Unique")</f>
        <v>Unique</v>
      </c>
      <c r="P13" s="4" t="n">
        <f aca="false">RANK(L13,Cleaned_Data!$L$5:$L$54,0)+COUNTIF(Cleaned_Data!$L$5:L13,L13)-1</f>
        <v>6</v>
      </c>
    </row>
    <row r="14" customFormat="false" ht="15" hidden="false" customHeight="false" outlineLevel="0" collapsed="false">
      <c r="A14" s="4" t="s">
        <v>28</v>
      </c>
      <c r="B14" s="4" t="n">
        <v>10</v>
      </c>
      <c r="C14" s="4" t="s">
        <v>21</v>
      </c>
      <c r="D14" s="4" t="n">
        <v>24</v>
      </c>
      <c r="E14" s="4" t="n">
        <v>23</v>
      </c>
      <c r="F14" s="4" t="n">
        <v>8</v>
      </c>
      <c r="G14" s="4" t="s">
        <v>19</v>
      </c>
      <c r="H14" s="4" t="n">
        <v>7</v>
      </c>
      <c r="I14" s="4" t="s">
        <v>16</v>
      </c>
      <c r="J14" s="5" t="n">
        <v>200</v>
      </c>
      <c r="K14" s="5" t="n">
        <v>35</v>
      </c>
      <c r="L14" s="5" t="n">
        <v>235</v>
      </c>
      <c r="M14" s="4" t="str">
        <f aca="false">CHOOSE(MOD(B14-1,7)+1,"Monday","Tuesday","Wednesday","Thursday","Friday","Saturday","Sunday")</f>
        <v>Wednesday</v>
      </c>
      <c r="N14" s="4" t="str">
        <f aca="false">IF(J14+K14=L14,"OK","MISMATCH")</f>
        <v>OK</v>
      </c>
      <c r="O14" s="4" t="str">
        <f aca="false">IF(COUNTIF($A$5:$A$54,A14)&gt;1,"DUPLICATE","Unique")</f>
        <v>Unique</v>
      </c>
      <c r="P14" s="4" t="n">
        <f aca="false">RANK(L14,Cleaned_Data!$L$5:$L$54,0)+COUNTIF(Cleaned_Data!$L$5:L14,L14)-1</f>
        <v>9</v>
      </c>
    </row>
    <row r="15" customFormat="false" ht="15" hidden="false" customHeight="false" outlineLevel="0" collapsed="false">
      <c r="A15" s="4" t="s">
        <v>29</v>
      </c>
      <c r="B15" s="4" t="n">
        <v>11</v>
      </c>
      <c r="C15" s="4" t="s">
        <v>15</v>
      </c>
      <c r="D15" s="4" t="n">
        <v>28</v>
      </c>
      <c r="E15" s="4" t="n">
        <v>25</v>
      </c>
      <c r="F15" s="4" t="n">
        <v>7</v>
      </c>
      <c r="G15" s="4" t="s">
        <v>16</v>
      </c>
      <c r="H15" s="4" t="n">
        <v>9</v>
      </c>
      <c r="I15" s="4" t="s">
        <v>19</v>
      </c>
      <c r="J15" s="5" t="n">
        <v>175</v>
      </c>
      <c r="K15" s="5" t="n">
        <v>125</v>
      </c>
      <c r="L15" s="5" t="n">
        <v>300</v>
      </c>
      <c r="M15" s="4" t="str">
        <f aca="false">CHOOSE(MOD(B15-1,7)+1,"Monday","Tuesday","Wednesday","Thursday","Friday","Saturday","Sunday")</f>
        <v>Thursday</v>
      </c>
      <c r="N15" s="4" t="str">
        <f aca="false">IF(J15+K15=L15,"OK","MISMATCH")</f>
        <v>OK</v>
      </c>
      <c r="O15" s="4" t="str">
        <f aca="false">IF(COUNTIF($A$5:$A$54,A15)&gt;1,"DUPLICATE","Unique")</f>
        <v>Unique</v>
      </c>
      <c r="P15" s="4" t="n">
        <f aca="false">RANK(L15,Cleaned_Data!$L$5:$L$54,0)+COUNTIF(Cleaned_Data!$L$5:L15,L15)-1</f>
        <v>1</v>
      </c>
    </row>
    <row r="16" customFormat="false" ht="15" hidden="false" customHeight="false" outlineLevel="0" collapsed="false">
      <c r="A16" s="4" t="s">
        <v>30</v>
      </c>
      <c r="B16" s="4" t="n">
        <v>12</v>
      </c>
      <c r="C16" s="4" t="s">
        <v>15</v>
      </c>
      <c r="D16" s="4" t="n">
        <v>41</v>
      </c>
      <c r="E16" s="4" t="n">
        <v>21</v>
      </c>
      <c r="F16" s="4" t="n">
        <v>8</v>
      </c>
      <c r="G16" s="4" t="s">
        <v>19</v>
      </c>
      <c r="H16" s="4" t="n">
        <v>2</v>
      </c>
      <c r="I16" s="4" t="s">
        <v>16</v>
      </c>
      <c r="J16" s="5" t="n">
        <v>200</v>
      </c>
      <c r="K16" s="5" t="n">
        <v>10</v>
      </c>
      <c r="L16" s="5" t="n">
        <v>210</v>
      </c>
      <c r="M16" s="4" t="str">
        <f aca="false">CHOOSE(MOD(B16-1,7)+1,"Monday","Tuesday","Wednesday","Thursday","Friday","Saturday","Sunday")</f>
        <v>Friday</v>
      </c>
      <c r="N16" s="4" t="str">
        <f aca="false">IF(J16+K16=L16,"OK","MISMATCH")</f>
        <v>OK</v>
      </c>
      <c r="O16" s="4" t="str">
        <f aca="false">IF(COUNTIF($A$5:$A$54,A16)&gt;1,"DUPLICATE","Unique")</f>
        <v>Unique</v>
      </c>
      <c r="P16" s="4" t="n">
        <f aca="false">RANK(L16,Cleaned_Data!$L$5:$L$54,0)+COUNTIF(Cleaned_Data!$L$5:L16,L16)-1</f>
        <v>13</v>
      </c>
    </row>
    <row r="17" customFormat="false" ht="15" hidden="false" customHeight="false" outlineLevel="0" collapsed="false">
      <c r="A17" s="4" t="s">
        <v>31</v>
      </c>
      <c r="B17" s="4" t="n">
        <v>13</v>
      </c>
      <c r="C17" s="4" t="s">
        <v>21</v>
      </c>
      <c r="D17" s="4" t="n">
        <v>27</v>
      </c>
      <c r="E17" s="4" t="n">
        <v>17</v>
      </c>
      <c r="F17" s="4" t="n">
        <v>8</v>
      </c>
      <c r="G17" s="4" t="s">
        <v>16</v>
      </c>
      <c r="H17" s="4" t="n">
        <v>7</v>
      </c>
      <c r="I17" s="4" t="s">
        <v>16</v>
      </c>
      <c r="J17" s="5" t="n">
        <v>200</v>
      </c>
      <c r="K17" s="5" t="n">
        <v>35</v>
      </c>
      <c r="L17" s="5" t="n">
        <v>235</v>
      </c>
      <c r="M17" s="4" t="str">
        <f aca="false">CHOOSE(MOD(B17-1,7)+1,"Monday","Tuesday","Wednesday","Thursday","Friday","Saturday","Sunday")</f>
        <v>Saturday</v>
      </c>
      <c r="N17" s="4" t="str">
        <f aca="false">IF(J17+K17=L17,"OK","MISMATCH")</f>
        <v>OK</v>
      </c>
      <c r="O17" s="4" t="str">
        <f aca="false">IF(COUNTIF($A$5:$A$54,A17)&gt;1,"DUPLICATE","Unique")</f>
        <v>Unique</v>
      </c>
      <c r="P17" s="4" t="n">
        <f aca="false">RANK(L17,Cleaned_Data!$L$5:$L$54,0)+COUNTIF(Cleaned_Data!$L$5:L17,L17)-1</f>
        <v>10</v>
      </c>
    </row>
    <row r="18" customFormat="false" ht="15" hidden="false" customHeight="false" outlineLevel="0" collapsed="false">
      <c r="A18" s="4" t="s">
        <v>32</v>
      </c>
      <c r="B18" s="4" t="n">
        <v>14</v>
      </c>
      <c r="C18" s="4" t="s">
        <v>18</v>
      </c>
      <c r="D18" s="4" t="n">
        <v>18</v>
      </c>
      <c r="E18" s="4" t="n">
        <v>7</v>
      </c>
      <c r="F18" s="4" t="n">
        <v>8</v>
      </c>
      <c r="G18" s="4" t="s">
        <v>16</v>
      </c>
      <c r="H18" s="4" t="n">
        <v>5</v>
      </c>
      <c r="I18" s="4" t="s">
        <v>16</v>
      </c>
      <c r="J18" s="5" t="n">
        <v>200</v>
      </c>
      <c r="K18" s="5" t="n">
        <v>25</v>
      </c>
      <c r="L18" s="5" t="n">
        <v>225</v>
      </c>
      <c r="M18" s="4" t="str">
        <f aca="false">CHOOSE(MOD(B18-1,7)+1,"Monday","Tuesday","Wednesday","Thursday","Friday","Saturday","Sunday")</f>
        <v>Sunday</v>
      </c>
      <c r="N18" s="4" t="str">
        <f aca="false">IF(J18+K18=L18,"OK","MISMATCH")</f>
        <v>OK</v>
      </c>
      <c r="O18" s="4" t="str">
        <f aca="false">IF(COUNTIF($A$5:$A$54,A18)&gt;1,"DUPLICATE","Unique")</f>
        <v>Unique</v>
      </c>
      <c r="P18" s="4" t="n">
        <f aca="false">RANK(L18,Cleaned_Data!$L$5:$L$54,0)+COUNTIF(Cleaned_Data!$L$5:L18,L18)-1</f>
        <v>12</v>
      </c>
    </row>
    <row r="19" customFormat="false" ht="15" hidden="false" customHeight="false" outlineLevel="0" collapsed="false">
      <c r="A19" s="4" t="s">
        <v>33</v>
      </c>
      <c r="B19" s="4" t="n">
        <v>15</v>
      </c>
      <c r="C19" s="4" t="s">
        <v>18</v>
      </c>
      <c r="D19" s="4" t="n">
        <v>28</v>
      </c>
      <c r="E19" s="4" t="n">
        <v>21</v>
      </c>
      <c r="F19" s="4" t="n">
        <v>8</v>
      </c>
      <c r="G19" s="4" t="s">
        <v>16</v>
      </c>
      <c r="H19" s="4" t="n">
        <v>4</v>
      </c>
      <c r="I19" s="4" t="s">
        <v>19</v>
      </c>
      <c r="J19" s="5" t="n">
        <v>200</v>
      </c>
      <c r="K19" s="5" t="n">
        <v>100</v>
      </c>
      <c r="L19" s="5" t="n">
        <v>300</v>
      </c>
      <c r="M19" s="4" t="str">
        <f aca="false">CHOOSE(MOD(B19-1,7)+1,"Monday","Tuesday","Wednesday","Thursday","Friday","Saturday","Sunday")</f>
        <v>Monday</v>
      </c>
      <c r="N19" s="4" t="str">
        <f aca="false">IF(J19+K19=L19,"OK","MISMATCH")</f>
        <v>OK</v>
      </c>
      <c r="O19" s="4" t="str">
        <f aca="false">IF(COUNTIF($A$5:$A$54,A19)&gt;1,"DUPLICATE","Unique")</f>
        <v>Unique</v>
      </c>
      <c r="P19" s="4" t="n">
        <f aca="false">RANK(L19,Cleaned_Data!$L$5:$L$54,0)+COUNTIF(Cleaned_Data!$L$5:L19,L19)-1</f>
        <v>2</v>
      </c>
    </row>
    <row r="20" customFormat="false" ht="15" hidden="false" customHeight="false" outlineLevel="0" collapsed="false">
      <c r="A20" s="4" t="s">
        <v>34</v>
      </c>
      <c r="B20" s="4" t="n">
        <v>16</v>
      </c>
      <c r="C20" s="4" t="s">
        <v>15</v>
      </c>
      <c r="D20" s="4" t="n">
        <v>22</v>
      </c>
      <c r="E20" s="4" t="n">
        <v>5</v>
      </c>
      <c r="F20" s="4" t="n">
        <v>1</v>
      </c>
      <c r="G20" s="4" t="s">
        <v>16</v>
      </c>
      <c r="H20" s="4" t="n">
        <v>9</v>
      </c>
      <c r="I20" s="4" t="s">
        <v>19</v>
      </c>
      <c r="J20" s="5" t="n">
        <v>25</v>
      </c>
      <c r="K20" s="5" t="n">
        <v>125</v>
      </c>
      <c r="L20" s="5" t="n">
        <v>150</v>
      </c>
      <c r="M20" s="4" t="str">
        <f aca="false">CHOOSE(MOD(B20-1,7)+1,"Monday","Tuesday","Wednesday","Thursday","Friday","Saturday","Sunday")</f>
        <v>Tuesday</v>
      </c>
      <c r="N20" s="4" t="str">
        <f aca="false">IF(J20+K20=L20,"OK","MISMATCH")</f>
        <v>OK</v>
      </c>
      <c r="O20" s="4" t="str">
        <f aca="false">IF(COUNTIF($A$5:$A$54,A20)&gt;1,"DUPLICATE","Unique")</f>
        <v>Unique</v>
      </c>
      <c r="P20" s="4" t="n">
        <f aca="false">RANK(L20,Cleaned_Data!$L$5:$L$54,0)+COUNTIF(Cleaned_Data!$L$5:L20,L20)-1</f>
        <v>31</v>
      </c>
    </row>
    <row r="21" customFormat="false" ht="15" hidden="false" customHeight="false" outlineLevel="0" collapsed="false">
      <c r="A21" s="4" t="s">
        <v>35</v>
      </c>
      <c r="B21" s="4" t="n">
        <v>17</v>
      </c>
      <c r="C21" s="4" t="s">
        <v>21</v>
      </c>
      <c r="D21" s="4" t="n">
        <v>16</v>
      </c>
      <c r="E21" s="4" t="n">
        <v>16</v>
      </c>
      <c r="F21" s="4" t="n">
        <v>5</v>
      </c>
      <c r="G21" s="4" t="s">
        <v>19</v>
      </c>
      <c r="H21" s="4" t="n">
        <v>1</v>
      </c>
      <c r="I21" s="4" t="s">
        <v>16</v>
      </c>
      <c r="J21" s="5" t="n">
        <v>125</v>
      </c>
      <c r="K21" s="5" t="n">
        <v>5</v>
      </c>
      <c r="L21" s="5" t="n">
        <v>130</v>
      </c>
      <c r="M21" s="4" t="str">
        <f aca="false">CHOOSE(MOD(B21-1,7)+1,"Monday","Tuesday","Wednesday","Thursday","Friday","Saturday","Sunday")</f>
        <v>Wednesday</v>
      </c>
      <c r="N21" s="4" t="str">
        <f aca="false">IF(J21+K21=L21,"OK","MISMATCH")</f>
        <v>OK</v>
      </c>
      <c r="O21" s="4" t="str">
        <f aca="false">IF(COUNTIF($A$5:$A$54,A21)&gt;1,"DUPLICATE","Unique")</f>
        <v>Unique</v>
      </c>
      <c r="P21" s="4" t="n">
        <f aca="false">RANK(L21,Cleaned_Data!$L$5:$L$54,0)+COUNTIF(Cleaned_Data!$L$5:L21,L21)-1</f>
        <v>37</v>
      </c>
    </row>
    <row r="22" customFormat="false" ht="15" hidden="false" customHeight="false" outlineLevel="0" collapsed="false">
      <c r="A22" s="4" t="s">
        <v>36</v>
      </c>
      <c r="B22" s="4" t="n">
        <v>18</v>
      </c>
      <c r="C22" s="4" t="s">
        <v>18</v>
      </c>
      <c r="D22" s="4" t="n">
        <v>17</v>
      </c>
      <c r="E22" s="4" t="n">
        <v>23</v>
      </c>
      <c r="F22" s="4" t="n">
        <v>2</v>
      </c>
      <c r="G22" s="4" t="s">
        <v>16</v>
      </c>
      <c r="H22" s="4" t="n">
        <v>1</v>
      </c>
      <c r="I22" s="4" t="s">
        <v>19</v>
      </c>
      <c r="J22" s="5" t="n">
        <v>50</v>
      </c>
      <c r="K22" s="5" t="n">
        <v>85</v>
      </c>
      <c r="L22" s="5" t="n">
        <v>135</v>
      </c>
      <c r="M22" s="4" t="str">
        <f aca="false">CHOOSE(MOD(B22-1,7)+1,"Monday","Tuesday","Wednesday","Thursday","Friday","Saturday","Sunday")</f>
        <v>Thursday</v>
      </c>
      <c r="N22" s="4" t="str">
        <f aca="false">IF(J22+K22=L22,"OK","MISMATCH")</f>
        <v>OK</v>
      </c>
      <c r="O22" s="4" t="str">
        <f aca="false">IF(COUNTIF($A$5:$A$54,A22)&gt;1,"DUPLICATE","Unique")</f>
        <v>Unique</v>
      </c>
      <c r="P22" s="4" t="n">
        <f aca="false">RANK(L22,Cleaned_Data!$L$5:$L$54,0)+COUNTIF(Cleaned_Data!$L$5:L22,L22)-1</f>
        <v>35</v>
      </c>
    </row>
    <row r="23" customFormat="false" ht="15" hidden="false" customHeight="false" outlineLevel="0" collapsed="false">
      <c r="A23" s="4" t="s">
        <v>37</v>
      </c>
      <c r="B23" s="4" t="n">
        <v>19</v>
      </c>
      <c r="C23" s="4" t="s">
        <v>18</v>
      </c>
      <c r="D23" s="4" t="n">
        <v>33</v>
      </c>
      <c r="E23" s="4" t="n">
        <v>13</v>
      </c>
      <c r="F23" s="4" t="n">
        <v>7</v>
      </c>
      <c r="G23" s="4" t="s">
        <v>16</v>
      </c>
      <c r="H23" s="4" t="n">
        <v>0</v>
      </c>
      <c r="I23" s="4" t="s">
        <v>16</v>
      </c>
      <c r="J23" s="5" t="n">
        <v>175</v>
      </c>
      <c r="K23" s="5" t="n">
        <v>0</v>
      </c>
      <c r="L23" s="5" t="n">
        <v>175</v>
      </c>
      <c r="M23" s="4" t="str">
        <f aca="false">CHOOSE(MOD(B23-1,7)+1,"Monday","Tuesday","Wednesday","Thursday","Friday","Saturday","Sunday")</f>
        <v>Friday</v>
      </c>
      <c r="N23" s="4" t="str">
        <f aca="false">IF(J23+K23=L23,"OK","MISMATCH")</f>
        <v>OK</v>
      </c>
      <c r="O23" s="4" t="str">
        <f aca="false">IF(COUNTIF($A$5:$A$54,A23)&gt;1,"DUPLICATE","Unique")</f>
        <v>Unique</v>
      </c>
      <c r="P23" s="4" t="n">
        <f aca="false">RANK(L23,Cleaned_Data!$L$5:$L$54,0)+COUNTIF(Cleaned_Data!$L$5:L23,L23)-1</f>
        <v>21</v>
      </c>
    </row>
    <row r="24" customFormat="false" ht="15" hidden="false" customHeight="false" outlineLevel="0" collapsed="false">
      <c r="A24" s="4" t="s">
        <v>38</v>
      </c>
      <c r="B24" s="4" t="n">
        <v>20</v>
      </c>
      <c r="C24" s="4" t="s">
        <v>18</v>
      </c>
      <c r="D24" s="4" t="n">
        <v>24</v>
      </c>
      <c r="E24" s="4" t="n">
        <v>28</v>
      </c>
      <c r="F24" s="4" t="n">
        <v>3</v>
      </c>
      <c r="G24" s="4" t="s">
        <v>16</v>
      </c>
      <c r="H24" s="4" t="n">
        <v>0</v>
      </c>
      <c r="I24" s="4" t="s">
        <v>16</v>
      </c>
      <c r="J24" s="5" t="n">
        <v>75</v>
      </c>
      <c r="K24" s="5" t="n">
        <v>0</v>
      </c>
      <c r="L24" s="5" t="n">
        <v>75</v>
      </c>
      <c r="M24" s="4" t="str">
        <f aca="false">CHOOSE(MOD(B24-1,7)+1,"Monday","Tuesday","Wednesday","Thursday","Friday","Saturday","Sunday")</f>
        <v>Saturday</v>
      </c>
      <c r="N24" s="4" t="str">
        <f aca="false">IF(J24+K24=L24,"OK","MISMATCH")</f>
        <v>OK</v>
      </c>
      <c r="O24" s="4" t="str">
        <f aca="false">IF(COUNTIF($A$5:$A$54,A24)&gt;1,"DUPLICATE","Unique")</f>
        <v>Unique</v>
      </c>
      <c r="P24" s="4" t="n">
        <f aca="false">RANK(L24,Cleaned_Data!$L$5:$L$54,0)+COUNTIF(Cleaned_Data!$L$5:L24,L24)-1</f>
        <v>46</v>
      </c>
    </row>
    <row r="25" customFormat="false" ht="15" hidden="false" customHeight="false" outlineLevel="0" collapsed="false">
      <c r="A25" s="4" t="s">
        <v>39</v>
      </c>
      <c r="B25" s="4" t="n">
        <v>21</v>
      </c>
      <c r="C25" s="4" t="s">
        <v>21</v>
      </c>
      <c r="D25" s="4" t="n">
        <v>23</v>
      </c>
      <c r="E25" s="4" t="n">
        <v>2</v>
      </c>
      <c r="F25" s="4" t="n">
        <v>8</v>
      </c>
      <c r="G25" s="4" t="s">
        <v>19</v>
      </c>
      <c r="H25" s="4" t="n">
        <v>0</v>
      </c>
      <c r="I25" s="4" t="s">
        <v>16</v>
      </c>
      <c r="J25" s="5" t="n">
        <v>200</v>
      </c>
      <c r="K25" s="5" t="n">
        <v>0</v>
      </c>
      <c r="L25" s="5" t="n">
        <v>200</v>
      </c>
      <c r="M25" s="4" t="str">
        <f aca="false">CHOOSE(MOD(B25-1,7)+1,"Monday","Tuesday","Wednesday","Thursday","Friday","Saturday","Sunday")</f>
        <v>Sunday</v>
      </c>
      <c r="N25" s="4" t="str">
        <f aca="false">IF(J25+K25=L25,"OK","MISMATCH")</f>
        <v>OK</v>
      </c>
      <c r="O25" s="4" t="str">
        <f aca="false">IF(COUNTIF($A$5:$A$54,A25)&gt;1,"DUPLICATE","Unique")</f>
        <v>Unique</v>
      </c>
      <c r="P25" s="4" t="n">
        <f aca="false">RANK(L25,Cleaned_Data!$L$5:$L$54,0)+COUNTIF(Cleaned_Data!$L$5:L25,L25)-1</f>
        <v>15</v>
      </c>
    </row>
    <row r="26" customFormat="false" ht="15" hidden="false" customHeight="false" outlineLevel="0" collapsed="false">
      <c r="A26" s="4" t="s">
        <v>40</v>
      </c>
      <c r="B26" s="4" t="n">
        <v>22</v>
      </c>
      <c r="C26" s="4" t="s">
        <v>15</v>
      </c>
      <c r="D26" s="4" t="n">
        <v>42</v>
      </c>
      <c r="E26" s="4" t="n">
        <v>1</v>
      </c>
      <c r="F26" s="4" t="n">
        <v>1</v>
      </c>
      <c r="G26" s="4" t="s">
        <v>16</v>
      </c>
      <c r="H26" s="4" t="n">
        <v>5</v>
      </c>
      <c r="I26" s="4" t="s">
        <v>16</v>
      </c>
      <c r="J26" s="5" t="n">
        <v>25</v>
      </c>
      <c r="K26" s="5" t="n">
        <v>25</v>
      </c>
      <c r="L26" s="5" t="n">
        <v>50</v>
      </c>
      <c r="M26" s="4" t="str">
        <f aca="false">CHOOSE(MOD(B26-1,7)+1,"Monday","Tuesday","Wednesday","Thursday","Friday","Saturday","Sunday")</f>
        <v>Monday</v>
      </c>
      <c r="N26" s="4" t="str">
        <f aca="false">IF(J26+K26=L26,"OK","MISMATCH")</f>
        <v>OK</v>
      </c>
      <c r="O26" s="4" t="str">
        <f aca="false">IF(COUNTIF($A$5:$A$54,A26)&gt;1,"DUPLICATE","Unique")</f>
        <v>Unique</v>
      </c>
      <c r="P26" s="4" t="n">
        <f aca="false">RANK(L26,Cleaned_Data!$L$5:$L$54,0)+COUNTIF(Cleaned_Data!$L$5:L26,L26)-1</f>
        <v>50</v>
      </c>
    </row>
    <row r="27" customFormat="false" ht="15" hidden="false" customHeight="false" outlineLevel="0" collapsed="false">
      <c r="A27" s="4" t="s">
        <v>41</v>
      </c>
      <c r="B27" s="4" t="n">
        <v>23</v>
      </c>
      <c r="C27" s="4" t="s">
        <v>18</v>
      </c>
      <c r="D27" s="4" t="n">
        <v>36</v>
      </c>
      <c r="E27" s="4" t="n">
        <v>13</v>
      </c>
      <c r="F27" s="4" t="n">
        <v>5</v>
      </c>
      <c r="G27" s="4" t="s">
        <v>16</v>
      </c>
      <c r="H27" s="4" t="n">
        <v>7</v>
      </c>
      <c r="I27" s="4" t="s">
        <v>16</v>
      </c>
      <c r="J27" s="5" t="n">
        <v>125</v>
      </c>
      <c r="K27" s="5" t="n">
        <v>35</v>
      </c>
      <c r="L27" s="5" t="n">
        <v>160</v>
      </c>
      <c r="M27" s="4" t="str">
        <f aca="false">CHOOSE(MOD(B27-1,7)+1,"Monday","Tuesday","Wednesday","Thursday","Friday","Saturday","Sunday")</f>
        <v>Tuesday</v>
      </c>
      <c r="N27" s="4" t="str">
        <f aca="false">IF(J27+K27=L27,"OK","MISMATCH")</f>
        <v>OK</v>
      </c>
      <c r="O27" s="4" t="str">
        <f aca="false">IF(COUNTIF($A$5:$A$54,A27)&gt;1,"DUPLICATE","Unique")</f>
        <v>Unique</v>
      </c>
      <c r="P27" s="4" t="n">
        <f aca="false">RANK(L27,Cleaned_Data!$L$5:$L$54,0)+COUNTIF(Cleaned_Data!$L$5:L27,L27)-1</f>
        <v>25</v>
      </c>
    </row>
    <row r="28" customFormat="false" ht="15" hidden="false" customHeight="false" outlineLevel="0" collapsed="false">
      <c r="A28" s="4" t="s">
        <v>42</v>
      </c>
      <c r="B28" s="4" t="n">
        <v>24</v>
      </c>
      <c r="C28" s="4" t="s">
        <v>15</v>
      </c>
      <c r="D28" s="4" t="n">
        <v>41</v>
      </c>
      <c r="E28" s="4" t="n">
        <v>4</v>
      </c>
      <c r="F28" s="4" t="n">
        <v>7</v>
      </c>
      <c r="G28" s="4" t="s">
        <v>19</v>
      </c>
      <c r="H28" s="4" t="n">
        <v>2</v>
      </c>
      <c r="I28" s="4" t="s">
        <v>19</v>
      </c>
      <c r="J28" s="5" t="n">
        <v>175</v>
      </c>
      <c r="K28" s="5" t="n">
        <v>90</v>
      </c>
      <c r="L28" s="5" t="n">
        <v>265</v>
      </c>
      <c r="M28" s="4" t="str">
        <f aca="false">CHOOSE(MOD(B28-1,7)+1,"Monday","Tuesday","Wednesday","Thursday","Friday","Saturday","Sunday")</f>
        <v>Wednesday</v>
      </c>
      <c r="N28" s="4" t="str">
        <f aca="false">IF(J28+K28=L28,"OK","MISMATCH")</f>
        <v>OK</v>
      </c>
      <c r="O28" s="4" t="str">
        <f aca="false">IF(COUNTIF($A$5:$A$54,A28)&gt;1,"DUPLICATE","Unique")</f>
        <v>Unique</v>
      </c>
      <c r="P28" s="4" t="n">
        <f aca="false">RANK(L28,Cleaned_Data!$L$5:$L$54,0)+COUNTIF(Cleaned_Data!$L$5:L28,L28)-1</f>
        <v>3</v>
      </c>
    </row>
    <row r="29" customFormat="false" ht="15" hidden="false" customHeight="false" outlineLevel="0" collapsed="false">
      <c r="A29" s="4" t="s">
        <v>43</v>
      </c>
      <c r="B29" s="4" t="n">
        <v>25</v>
      </c>
      <c r="C29" s="4" t="s">
        <v>15</v>
      </c>
      <c r="D29" s="4" t="n">
        <v>30</v>
      </c>
      <c r="E29" s="4" t="n">
        <v>15</v>
      </c>
      <c r="F29" s="4" t="n">
        <v>6</v>
      </c>
      <c r="G29" s="4" t="s">
        <v>16</v>
      </c>
      <c r="H29" s="4" t="n">
        <v>7</v>
      </c>
      <c r="I29" s="4" t="s">
        <v>19</v>
      </c>
      <c r="J29" s="5" t="n">
        <v>150</v>
      </c>
      <c r="K29" s="5" t="n">
        <v>115</v>
      </c>
      <c r="L29" s="5" t="n">
        <v>265</v>
      </c>
      <c r="M29" s="4" t="str">
        <f aca="false">CHOOSE(MOD(B29-1,7)+1,"Monday","Tuesday","Wednesday","Thursday","Friday","Saturday","Sunday")</f>
        <v>Thursday</v>
      </c>
      <c r="N29" s="4" t="str">
        <f aca="false">IF(J29+K29=L29,"OK","MISMATCH")</f>
        <v>OK</v>
      </c>
      <c r="O29" s="4" t="str">
        <f aca="false">IF(COUNTIF($A$5:$A$54,A29)&gt;1,"DUPLICATE","Unique")</f>
        <v>Unique</v>
      </c>
      <c r="P29" s="4" t="n">
        <f aca="false">RANK(L29,Cleaned_Data!$L$5:$L$54,0)+COUNTIF(Cleaned_Data!$L$5:L29,L29)-1</f>
        <v>4</v>
      </c>
    </row>
    <row r="30" customFormat="false" ht="15" hidden="false" customHeight="false" outlineLevel="0" collapsed="false">
      <c r="A30" s="4" t="s">
        <v>44</v>
      </c>
      <c r="B30" s="4" t="n">
        <v>26</v>
      </c>
      <c r="C30" s="4" t="s">
        <v>15</v>
      </c>
      <c r="D30" s="4" t="n">
        <v>20</v>
      </c>
      <c r="E30" s="4" t="n">
        <v>24</v>
      </c>
      <c r="F30" s="4" t="n">
        <v>5</v>
      </c>
      <c r="G30" s="4" t="s">
        <v>19</v>
      </c>
      <c r="H30" s="4" t="n">
        <v>7</v>
      </c>
      <c r="I30" s="4" t="s">
        <v>16</v>
      </c>
      <c r="J30" s="5" t="n">
        <v>125</v>
      </c>
      <c r="K30" s="5" t="n">
        <v>35</v>
      </c>
      <c r="L30" s="5" t="n">
        <v>160</v>
      </c>
      <c r="M30" s="4" t="str">
        <f aca="false">CHOOSE(MOD(B30-1,7)+1,"Monday","Tuesday","Wednesday","Thursday","Friday","Saturday","Sunday")</f>
        <v>Friday</v>
      </c>
      <c r="N30" s="4" t="str">
        <f aca="false">IF(J30+K30=L30,"OK","MISMATCH")</f>
        <v>OK</v>
      </c>
      <c r="O30" s="4" t="str">
        <f aca="false">IF(COUNTIF($A$5:$A$54,A30)&gt;1,"DUPLICATE","Unique")</f>
        <v>Unique</v>
      </c>
      <c r="P30" s="4" t="n">
        <f aca="false">RANK(L30,Cleaned_Data!$L$5:$L$54,0)+COUNTIF(Cleaned_Data!$L$5:L30,L30)-1</f>
        <v>26</v>
      </c>
    </row>
    <row r="31" customFormat="false" ht="15" hidden="false" customHeight="false" outlineLevel="0" collapsed="false">
      <c r="A31" s="4" t="s">
        <v>45</v>
      </c>
      <c r="B31" s="4" t="n">
        <v>27</v>
      </c>
      <c r="C31" s="4" t="s">
        <v>15</v>
      </c>
      <c r="D31" s="4" t="n">
        <v>24</v>
      </c>
      <c r="E31" s="4" t="n">
        <v>1</v>
      </c>
      <c r="F31" s="4" t="n">
        <v>6</v>
      </c>
      <c r="G31" s="4" t="s">
        <v>19</v>
      </c>
      <c r="H31" s="4" t="n">
        <v>3</v>
      </c>
      <c r="I31" s="4" t="s">
        <v>16</v>
      </c>
      <c r="J31" s="5" t="n">
        <v>150</v>
      </c>
      <c r="K31" s="5" t="n">
        <v>15</v>
      </c>
      <c r="L31" s="5" t="n">
        <v>165</v>
      </c>
      <c r="M31" s="4" t="str">
        <f aca="false">CHOOSE(MOD(B31-1,7)+1,"Monday","Tuesday","Wednesday","Thursday","Friday","Saturday","Sunday")</f>
        <v>Saturday</v>
      </c>
      <c r="N31" s="4" t="str">
        <f aca="false">IF(J31+K31=L31,"OK","MISMATCH")</f>
        <v>OK</v>
      </c>
      <c r="O31" s="4" t="str">
        <f aca="false">IF(COUNTIF($A$5:$A$54,A31)&gt;1,"DUPLICATE","Unique")</f>
        <v>Unique</v>
      </c>
      <c r="P31" s="4" t="n">
        <f aca="false">RANK(L31,Cleaned_Data!$L$5:$L$54,0)+COUNTIF(Cleaned_Data!$L$5:L31,L31)-1</f>
        <v>23</v>
      </c>
    </row>
    <row r="32" customFormat="false" ht="15" hidden="false" customHeight="false" outlineLevel="0" collapsed="false">
      <c r="A32" s="4" t="s">
        <v>46</v>
      </c>
      <c r="B32" s="4" t="n">
        <v>28</v>
      </c>
      <c r="C32" s="4" t="s">
        <v>21</v>
      </c>
      <c r="D32" s="4" t="n">
        <v>27</v>
      </c>
      <c r="E32" s="4" t="n">
        <v>8</v>
      </c>
      <c r="F32" s="4" t="n">
        <v>6</v>
      </c>
      <c r="G32" s="4" t="s">
        <v>19</v>
      </c>
      <c r="H32" s="4" t="n">
        <v>6</v>
      </c>
      <c r="I32" s="4" t="s">
        <v>16</v>
      </c>
      <c r="J32" s="5" t="n">
        <v>150</v>
      </c>
      <c r="K32" s="5" t="n">
        <v>30</v>
      </c>
      <c r="L32" s="5" t="n">
        <v>180</v>
      </c>
      <c r="M32" s="4" t="str">
        <f aca="false">CHOOSE(MOD(B32-1,7)+1,"Monday","Tuesday","Wednesday","Thursday","Friday","Saturday","Sunday")</f>
        <v>Sunday</v>
      </c>
      <c r="N32" s="4" t="str">
        <f aca="false">IF(J32+K32=L32,"OK","MISMATCH")</f>
        <v>OK</v>
      </c>
      <c r="O32" s="4" t="str">
        <f aca="false">IF(COUNTIF($A$5:$A$54,A32)&gt;1,"DUPLICATE","Unique")</f>
        <v>Unique</v>
      </c>
      <c r="P32" s="4" t="n">
        <f aca="false">RANK(L32,Cleaned_Data!$L$5:$L$54,0)+COUNTIF(Cleaned_Data!$L$5:L32,L32)-1</f>
        <v>19</v>
      </c>
    </row>
    <row r="33" customFormat="false" ht="15" hidden="false" customHeight="false" outlineLevel="0" collapsed="false">
      <c r="A33" s="4" t="s">
        <v>47</v>
      </c>
      <c r="B33" s="4" t="n">
        <v>29</v>
      </c>
      <c r="C33" s="4" t="s">
        <v>18</v>
      </c>
      <c r="D33" s="4" t="n">
        <v>25</v>
      </c>
      <c r="E33" s="4" t="n">
        <v>6</v>
      </c>
      <c r="F33" s="4" t="n">
        <v>8</v>
      </c>
      <c r="G33" s="4" t="s">
        <v>19</v>
      </c>
      <c r="H33" s="4" t="n">
        <v>9</v>
      </c>
      <c r="I33" s="4" t="s">
        <v>16</v>
      </c>
      <c r="J33" s="5" t="n">
        <v>200</v>
      </c>
      <c r="K33" s="5" t="n">
        <v>45</v>
      </c>
      <c r="L33" s="5" t="n">
        <v>245</v>
      </c>
      <c r="M33" s="4" t="str">
        <f aca="false">CHOOSE(MOD(B33-1,7)+1,"Monday","Tuesday","Wednesday","Thursday","Friday","Saturday","Sunday")</f>
        <v>Monday</v>
      </c>
      <c r="N33" s="4" t="str">
        <f aca="false">IF(J33+K33=L33,"OK","MISMATCH")</f>
        <v>OK</v>
      </c>
      <c r="O33" s="4" t="str">
        <f aca="false">IF(COUNTIF($A$5:$A$54,A33)&gt;1,"DUPLICATE","Unique")</f>
        <v>Unique</v>
      </c>
      <c r="P33" s="4" t="n">
        <f aca="false">RANK(L33,Cleaned_Data!$L$5:$L$54,0)+COUNTIF(Cleaned_Data!$L$5:L33,L33)-1</f>
        <v>7</v>
      </c>
    </row>
    <row r="34" customFormat="false" ht="15" hidden="false" customHeight="false" outlineLevel="0" collapsed="false">
      <c r="A34" s="4" t="s">
        <v>48</v>
      </c>
      <c r="B34" s="4" t="n">
        <v>30</v>
      </c>
      <c r="C34" s="4" t="s">
        <v>18</v>
      </c>
      <c r="D34" s="4" t="n">
        <v>17</v>
      </c>
      <c r="E34" s="4" t="n">
        <v>10</v>
      </c>
      <c r="F34" s="4" t="n">
        <v>3</v>
      </c>
      <c r="G34" s="4" t="s">
        <v>19</v>
      </c>
      <c r="H34" s="4" t="n">
        <v>5</v>
      </c>
      <c r="I34" s="4" t="s">
        <v>16</v>
      </c>
      <c r="J34" s="5" t="n">
        <v>75</v>
      </c>
      <c r="K34" s="5" t="n">
        <v>25</v>
      </c>
      <c r="L34" s="5" t="n">
        <v>100</v>
      </c>
      <c r="M34" s="4" t="str">
        <f aca="false">CHOOSE(MOD(B34-1,7)+1,"Monday","Tuesday","Wednesday","Thursday","Friday","Saturday","Sunday")</f>
        <v>Tuesday</v>
      </c>
      <c r="N34" s="4" t="str">
        <f aca="false">IF(J34+K34=L34,"OK","MISMATCH")</f>
        <v>OK</v>
      </c>
      <c r="O34" s="4" t="str">
        <f aca="false">IF(COUNTIF($A$5:$A$54,A34)&gt;1,"DUPLICATE","Unique")</f>
        <v>Unique</v>
      </c>
      <c r="P34" s="4" t="n">
        <f aca="false">RANK(L34,Cleaned_Data!$L$5:$L$54,0)+COUNTIF(Cleaned_Data!$L$5:L34,L34)-1</f>
        <v>42</v>
      </c>
    </row>
    <row r="35" customFormat="false" ht="15" hidden="false" customHeight="false" outlineLevel="0" collapsed="false">
      <c r="A35" s="4" t="s">
        <v>49</v>
      </c>
      <c r="B35" s="4" t="n">
        <v>31</v>
      </c>
      <c r="C35" s="4" t="s">
        <v>18</v>
      </c>
      <c r="D35" s="4" t="n">
        <v>36</v>
      </c>
      <c r="E35" s="4" t="n">
        <v>16</v>
      </c>
      <c r="F35" s="4" t="n">
        <v>3</v>
      </c>
      <c r="G35" s="4" t="s">
        <v>16</v>
      </c>
      <c r="H35" s="4" t="n">
        <v>2</v>
      </c>
      <c r="I35" s="4" t="s">
        <v>16</v>
      </c>
      <c r="J35" s="5" t="n">
        <v>75</v>
      </c>
      <c r="K35" s="5" t="n">
        <v>10</v>
      </c>
      <c r="L35" s="5" t="n">
        <v>85</v>
      </c>
      <c r="M35" s="4" t="str">
        <f aca="false">CHOOSE(MOD(B35-1,7)+1,"Monday","Tuesday","Wednesday","Thursday","Friday","Saturday","Sunday")</f>
        <v>Wednesday</v>
      </c>
      <c r="N35" s="4" t="str">
        <f aca="false">IF(J35+K35=L35,"OK","MISMATCH")</f>
        <v>OK</v>
      </c>
      <c r="O35" s="4" t="str">
        <f aca="false">IF(COUNTIF($A$5:$A$54,A35)&gt;1,"DUPLICATE","Unique")</f>
        <v>Unique</v>
      </c>
      <c r="P35" s="4" t="n">
        <f aca="false">RANK(L35,Cleaned_Data!$L$5:$L$54,0)+COUNTIF(Cleaned_Data!$L$5:L35,L35)-1</f>
        <v>45</v>
      </c>
    </row>
    <row r="36" customFormat="false" ht="15" hidden="false" customHeight="false" outlineLevel="0" collapsed="false">
      <c r="A36" s="4" t="s">
        <v>50</v>
      </c>
      <c r="B36" s="4" t="n">
        <v>32</v>
      </c>
      <c r="C36" s="4" t="s">
        <v>21</v>
      </c>
      <c r="D36" s="4" t="n">
        <v>33</v>
      </c>
      <c r="E36" s="4" t="n">
        <v>11</v>
      </c>
      <c r="F36" s="4" t="n">
        <v>4</v>
      </c>
      <c r="G36" s="4" t="s">
        <v>16</v>
      </c>
      <c r="H36" s="4" t="n">
        <v>0</v>
      </c>
      <c r="I36" s="4" t="s">
        <v>16</v>
      </c>
      <c r="J36" s="5" t="n">
        <v>100</v>
      </c>
      <c r="K36" s="5" t="n">
        <v>0</v>
      </c>
      <c r="L36" s="5" t="n">
        <v>100</v>
      </c>
      <c r="M36" s="4" t="str">
        <f aca="false">CHOOSE(MOD(B36-1,7)+1,"Monday","Tuesday","Wednesday","Thursday","Friday","Saturday","Sunday")</f>
        <v>Thursday</v>
      </c>
      <c r="N36" s="4" t="str">
        <f aca="false">IF(J36+K36=L36,"OK","MISMATCH")</f>
        <v>OK</v>
      </c>
      <c r="O36" s="4" t="str">
        <f aca="false">IF(COUNTIF($A$5:$A$54,A36)&gt;1,"DUPLICATE","Unique")</f>
        <v>Unique</v>
      </c>
      <c r="P36" s="4" t="n">
        <f aca="false">RANK(L36,Cleaned_Data!$L$5:$L$54,0)+COUNTIF(Cleaned_Data!$L$5:L36,L36)-1</f>
        <v>43</v>
      </c>
    </row>
    <row r="37" customFormat="false" ht="15" hidden="false" customHeight="false" outlineLevel="0" collapsed="false">
      <c r="A37" s="4" t="s">
        <v>51</v>
      </c>
      <c r="B37" s="4" t="n">
        <v>33</v>
      </c>
      <c r="C37" s="4" t="s">
        <v>15</v>
      </c>
      <c r="D37" s="4" t="n">
        <v>36</v>
      </c>
      <c r="E37" s="4" t="n">
        <v>21</v>
      </c>
      <c r="F37" s="4" t="n">
        <v>7</v>
      </c>
      <c r="G37" s="4" t="s">
        <v>19</v>
      </c>
      <c r="H37" s="4" t="n">
        <v>0</v>
      </c>
      <c r="I37" s="4" t="s">
        <v>16</v>
      </c>
      <c r="J37" s="5" t="n">
        <v>175</v>
      </c>
      <c r="K37" s="5" t="n">
        <v>0</v>
      </c>
      <c r="L37" s="5" t="n">
        <v>175</v>
      </c>
      <c r="M37" s="4" t="str">
        <f aca="false">CHOOSE(MOD(B37-1,7)+1,"Monday","Tuesday","Wednesday","Thursday","Friday","Saturday","Sunday")</f>
        <v>Friday</v>
      </c>
      <c r="N37" s="4" t="str">
        <f aca="false">IF(J37+K37=L37,"OK","MISMATCH")</f>
        <v>OK</v>
      </c>
      <c r="O37" s="4" t="str">
        <f aca="false">IF(COUNTIF($A$5:$A$54,A37)&gt;1,"DUPLICATE","Unique")</f>
        <v>Unique</v>
      </c>
      <c r="P37" s="4" t="n">
        <f aca="false">RANK(L37,Cleaned_Data!$L$5:$L$54,0)+COUNTIF(Cleaned_Data!$L$5:L37,L37)-1</f>
        <v>22</v>
      </c>
    </row>
    <row r="38" customFormat="false" ht="15" hidden="false" customHeight="false" outlineLevel="0" collapsed="false">
      <c r="A38" s="4" t="s">
        <v>52</v>
      </c>
      <c r="B38" s="4" t="n">
        <v>34</v>
      </c>
      <c r="C38" s="4" t="s">
        <v>21</v>
      </c>
      <c r="D38" s="4" t="n">
        <v>25</v>
      </c>
      <c r="E38" s="4" t="n">
        <v>20</v>
      </c>
      <c r="F38" s="4" t="n">
        <v>6</v>
      </c>
      <c r="G38" s="4" t="s">
        <v>19</v>
      </c>
      <c r="H38" s="4" t="n">
        <v>1</v>
      </c>
      <c r="I38" s="4" t="s">
        <v>16</v>
      </c>
      <c r="J38" s="5" t="n">
        <v>150</v>
      </c>
      <c r="K38" s="5" t="n">
        <v>5</v>
      </c>
      <c r="L38" s="5" t="n">
        <v>155</v>
      </c>
      <c r="M38" s="4" t="str">
        <f aca="false">CHOOSE(MOD(B38-1,7)+1,"Monday","Tuesday","Wednesday","Thursday","Friday","Saturday","Sunday")</f>
        <v>Saturday</v>
      </c>
      <c r="N38" s="4" t="str">
        <f aca="false">IF(J38+K38=L38,"OK","MISMATCH")</f>
        <v>OK</v>
      </c>
      <c r="O38" s="4" t="str">
        <f aca="false">IF(COUNTIF($A$5:$A$54,A38)&gt;1,"DUPLICATE","Unique")</f>
        <v>Unique</v>
      </c>
      <c r="P38" s="4" t="n">
        <f aca="false">RANK(L38,Cleaned_Data!$L$5:$L$54,0)+COUNTIF(Cleaned_Data!$L$5:L38,L38)-1</f>
        <v>28</v>
      </c>
    </row>
    <row r="39" customFormat="false" ht="15" hidden="false" customHeight="false" outlineLevel="0" collapsed="false">
      <c r="A39" s="4" t="s">
        <v>53</v>
      </c>
      <c r="B39" s="4" t="n">
        <v>35</v>
      </c>
      <c r="C39" s="4" t="s">
        <v>18</v>
      </c>
      <c r="D39" s="4" t="n">
        <v>19</v>
      </c>
      <c r="E39" s="4" t="n">
        <v>2</v>
      </c>
      <c r="F39" s="4" t="n">
        <v>2</v>
      </c>
      <c r="G39" s="4" t="s">
        <v>19</v>
      </c>
      <c r="H39" s="4" t="n">
        <v>8</v>
      </c>
      <c r="I39" s="4" t="s">
        <v>16</v>
      </c>
      <c r="J39" s="5" t="n">
        <v>50</v>
      </c>
      <c r="K39" s="5" t="n">
        <v>40</v>
      </c>
      <c r="L39" s="5" t="n">
        <v>90</v>
      </c>
      <c r="M39" s="4" t="str">
        <f aca="false">CHOOSE(MOD(B39-1,7)+1,"Monday","Tuesday","Wednesday","Thursday","Friday","Saturday","Sunday")</f>
        <v>Sunday</v>
      </c>
      <c r="N39" s="4" t="str">
        <f aca="false">IF(J39+K39=L39,"OK","MISMATCH")</f>
        <v>OK</v>
      </c>
      <c r="O39" s="4" t="str">
        <f aca="false">IF(COUNTIF($A$5:$A$54,A39)&gt;1,"DUPLICATE","Unique")</f>
        <v>Unique</v>
      </c>
      <c r="P39" s="4" t="n">
        <f aca="false">RANK(L39,Cleaned_Data!$L$5:$L$54,0)+COUNTIF(Cleaned_Data!$L$5:L39,L39)-1</f>
        <v>44</v>
      </c>
    </row>
    <row r="40" customFormat="false" ht="15" hidden="false" customHeight="false" outlineLevel="0" collapsed="false">
      <c r="A40" s="4" t="s">
        <v>54</v>
      </c>
      <c r="B40" s="4" t="n">
        <v>36</v>
      </c>
      <c r="C40" s="4" t="s">
        <v>18</v>
      </c>
      <c r="D40" s="4" t="n">
        <v>28</v>
      </c>
      <c r="E40" s="4" t="n">
        <v>1</v>
      </c>
      <c r="F40" s="4" t="n">
        <v>2</v>
      </c>
      <c r="G40" s="4" t="s">
        <v>16</v>
      </c>
      <c r="H40" s="4" t="n">
        <v>0</v>
      </c>
      <c r="I40" s="4" t="s">
        <v>19</v>
      </c>
      <c r="J40" s="5" t="n">
        <v>50</v>
      </c>
      <c r="K40" s="5" t="n">
        <v>80</v>
      </c>
      <c r="L40" s="5" t="n">
        <v>130</v>
      </c>
      <c r="M40" s="4" t="str">
        <f aca="false">CHOOSE(MOD(B40-1,7)+1,"Monday","Tuesday","Wednesday","Thursday","Friday","Saturday","Sunday")</f>
        <v>Monday</v>
      </c>
      <c r="N40" s="4" t="str">
        <f aca="false">IF(J40+K40=L40,"OK","MISMATCH")</f>
        <v>OK</v>
      </c>
      <c r="O40" s="4" t="str">
        <f aca="false">IF(COUNTIF($A$5:$A$54,A40)&gt;1,"DUPLICATE","Unique")</f>
        <v>Unique</v>
      </c>
      <c r="P40" s="4" t="n">
        <f aca="false">RANK(L40,Cleaned_Data!$L$5:$L$54,0)+COUNTIF(Cleaned_Data!$L$5:L40,L40)-1</f>
        <v>38</v>
      </c>
    </row>
    <row r="41" customFormat="false" ht="15" hidden="false" customHeight="false" outlineLevel="0" collapsed="false">
      <c r="A41" s="4" t="s">
        <v>55</v>
      </c>
      <c r="B41" s="4" t="n">
        <v>37</v>
      </c>
      <c r="C41" s="4" t="s">
        <v>21</v>
      </c>
      <c r="D41" s="4" t="n">
        <v>18</v>
      </c>
      <c r="E41" s="4" t="n">
        <v>10</v>
      </c>
      <c r="F41" s="4" t="n">
        <v>2</v>
      </c>
      <c r="G41" s="4" t="s">
        <v>16</v>
      </c>
      <c r="H41" s="4" t="n">
        <v>2</v>
      </c>
      <c r="I41" s="4" t="s">
        <v>16</v>
      </c>
      <c r="J41" s="5" t="n">
        <v>50</v>
      </c>
      <c r="K41" s="5" t="n">
        <v>10</v>
      </c>
      <c r="L41" s="5" t="n">
        <v>60</v>
      </c>
      <c r="M41" s="4" t="str">
        <f aca="false">CHOOSE(MOD(B41-1,7)+1,"Monday","Tuesday","Wednesday","Thursday","Friday","Saturday","Sunday")</f>
        <v>Tuesday</v>
      </c>
      <c r="N41" s="4" t="str">
        <f aca="false">IF(J41+K41=L41,"OK","MISMATCH")</f>
        <v>OK</v>
      </c>
      <c r="O41" s="4" t="str">
        <f aca="false">IF(COUNTIF($A$5:$A$54,A41)&gt;1,"DUPLICATE","Unique")</f>
        <v>Unique</v>
      </c>
      <c r="P41" s="4" t="n">
        <f aca="false">RANK(L41,Cleaned_Data!$L$5:$L$54,0)+COUNTIF(Cleaned_Data!$L$5:L41,L41)-1</f>
        <v>48</v>
      </c>
    </row>
    <row r="42" customFormat="false" ht="15" hidden="false" customHeight="false" outlineLevel="0" collapsed="false">
      <c r="A42" s="4" t="s">
        <v>56</v>
      </c>
      <c r="B42" s="4" t="n">
        <v>38</v>
      </c>
      <c r="C42" s="4" t="s">
        <v>18</v>
      </c>
      <c r="D42" s="4" t="n">
        <v>42</v>
      </c>
      <c r="E42" s="4" t="n">
        <v>17</v>
      </c>
      <c r="F42" s="4" t="n">
        <v>8</v>
      </c>
      <c r="G42" s="4" t="s">
        <v>16</v>
      </c>
      <c r="H42" s="4" t="n">
        <v>9</v>
      </c>
      <c r="I42" s="4" t="s">
        <v>16</v>
      </c>
      <c r="J42" s="5" t="n">
        <v>200</v>
      </c>
      <c r="K42" s="5" t="n">
        <v>45</v>
      </c>
      <c r="L42" s="5" t="n">
        <v>245</v>
      </c>
      <c r="M42" s="4" t="str">
        <f aca="false">CHOOSE(MOD(B42-1,7)+1,"Monday","Tuesday","Wednesday","Thursday","Friday","Saturday","Sunday")</f>
        <v>Wednesday</v>
      </c>
      <c r="N42" s="4" t="str">
        <f aca="false">IF(J42+K42=L42,"OK","MISMATCH")</f>
        <v>OK</v>
      </c>
      <c r="O42" s="4" t="str">
        <f aca="false">IF(COUNTIF($A$5:$A$54,A42)&gt;1,"DUPLICATE","Unique")</f>
        <v>Unique</v>
      </c>
      <c r="P42" s="4" t="n">
        <f aca="false">RANK(L42,Cleaned_Data!$L$5:$L$54,0)+COUNTIF(Cleaned_Data!$L$5:L42,L42)-1</f>
        <v>8</v>
      </c>
    </row>
    <row r="43" customFormat="false" ht="15" hidden="false" customHeight="false" outlineLevel="0" collapsed="false">
      <c r="A43" s="4" t="s">
        <v>57</v>
      </c>
      <c r="B43" s="4" t="n">
        <v>39</v>
      </c>
      <c r="C43" s="4" t="s">
        <v>15</v>
      </c>
      <c r="D43" s="4" t="n">
        <v>33</v>
      </c>
      <c r="E43" s="4" t="n">
        <v>22</v>
      </c>
      <c r="F43" s="4" t="n">
        <v>4</v>
      </c>
      <c r="G43" s="4" t="s">
        <v>19</v>
      </c>
      <c r="H43" s="4" t="n">
        <v>8</v>
      </c>
      <c r="I43" s="4" t="s">
        <v>16</v>
      </c>
      <c r="J43" s="5" t="n">
        <v>100</v>
      </c>
      <c r="K43" s="5" t="n">
        <v>40</v>
      </c>
      <c r="L43" s="5" t="n">
        <v>140</v>
      </c>
      <c r="M43" s="4" t="str">
        <f aca="false">CHOOSE(MOD(B43-1,7)+1,"Monday","Tuesday","Wednesday","Thursday","Friday","Saturday","Sunday")</f>
        <v>Thursday</v>
      </c>
      <c r="N43" s="4" t="str">
        <f aca="false">IF(J43+K43=L43,"OK","MISMATCH")</f>
        <v>OK</v>
      </c>
      <c r="O43" s="4" t="str">
        <f aca="false">IF(COUNTIF($A$5:$A$54,A43)&gt;1,"DUPLICATE","Unique")</f>
        <v>Unique</v>
      </c>
      <c r="P43" s="4" t="n">
        <f aca="false">RANK(L43,Cleaned_Data!$L$5:$L$54,0)+COUNTIF(Cleaned_Data!$L$5:L43,L43)-1</f>
        <v>34</v>
      </c>
    </row>
    <row r="44" customFormat="false" ht="15" hidden="false" customHeight="false" outlineLevel="0" collapsed="false">
      <c r="A44" s="4" t="s">
        <v>58</v>
      </c>
      <c r="B44" s="4" t="n">
        <v>40</v>
      </c>
      <c r="C44" s="4" t="s">
        <v>21</v>
      </c>
      <c r="D44" s="4" t="n">
        <v>23</v>
      </c>
      <c r="E44" s="4" t="n">
        <v>14</v>
      </c>
      <c r="F44" s="4" t="n">
        <v>6</v>
      </c>
      <c r="G44" s="4" t="s">
        <v>16</v>
      </c>
      <c r="H44" s="4" t="n">
        <v>10</v>
      </c>
      <c r="I44" s="4" t="s">
        <v>16</v>
      </c>
      <c r="J44" s="5" t="n">
        <v>150</v>
      </c>
      <c r="K44" s="5" t="n">
        <v>50</v>
      </c>
      <c r="L44" s="5" t="n">
        <v>200</v>
      </c>
      <c r="M44" s="4" t="str">
        <f aca="false">CHOOSE(MOD(B44-1,7)+1,"Monday","Tuesday","Wednesday","Thursday","Friday","Saturday","Sunday")</f>
        <v>Friday</v>
      </c>
      <c r="N44" s="4" t="str">
        <f aca="false">IF(J44+K44=L44,"OK","MISMATCH")</f>
        <v>OK</v>
      </c>
      <c r="O44" s="4" t="str">
        <f aca="false">IF(COUNTIF($A$5:$A$54,A44)&gt;1,"DUPLICATE","Unique")</f>
        <v>Unique</v>
      </c>
      <c r="P44" s="4" t="n">
        <f aca="false">RANK(L44,Cleaned_Data!$L$5:$L$54,0)+COUNTIF(Cleaned_Data!$L$5:L44,L44)-1</f>
        <v>16</v>
      </c>
    </row>
    <row r="45" customFormat="false" ht="15" hidden="false" customHeight="false" outlineLevel="0" collapsed="false">
      <c r="A45" s="4" t="s">
        <v>59</v>
      </c>
      <c r="B45" s="4" t="n">
        <v>41</v>
      </c>
      <c r="C45" s="4" t="s">
        <v>18</v>
      </c>
      <c r="D45" s="4" t="n">
        <v>17</v>
      </c>
      <c r="E45" s="4" t="n">
        <v>2</v>
      </c>
      <c r="F45" s="4" t="n">
        <v>6</v>
      </c>
      <c r="G45" s="4" t="s">
        <v>16</v>
      </c>
      <c r="H45" s="4" t="n">
        <v>0</v>
      </c>
      <c r="I45" s="4" t="s">
        <v>19</v>
      </c>
      <c r="J45" s="5" t="n">
        <v>150</v>
      </c>
      <c r="K45" s="5" t="n">
        <v>80</v>
      </c>
      <c r="L45" s="5" t="n">
        <v>230</v>
      </c>
      <c r="M45" s="4" t="str">
        <f aca="false">CHOOSE(MOD(B45-1,7)+1,"Monday","Tuesday","Wednesday","Thursday","Friday","Saturday","Sunday")</f>
        <v>Saturday</v>
      </c>
      <c r="N45" s="4" t="str">
        <f aca="false">IF(J45+K45=L45,"OK","MISMATCH")</f>
        <v>OK</v>
      </c>
      <c r="O45" s="4" t="str">
        <f aca="false">IF(COUNTIF($A$5:$A$54,A45)&gt;1,"DUPLICATE","Unique")</f>
        <v>Unique</v>
      </c>
      <c r="P45" s="4" t="n">
        <f aca="false">RANK(L45,Cleaned_Data!$L$5:$L$54,0)+COUNTIF(Cleaned_Data!$L$5:L45,L45)-1</f>
        <v>11</v>
      </c>
    </row>
    <row r="46" customFormat="false" ht="15" hidden="false" customHeight="false" outlineLevel="0" collapsed="false">
      <c r="A46" s="4" t="s">
        <v>60</v>
      </c>
      <c r="B46" s="4" t="n">
        <v>42</v>
      </c>
      <c r="C46" s="4" t="s">
        <v>15</v>
      </c>
      <c r="D46" s="4" t="n">
        <v>23</v>
      </c>
      <c r="E46" s="4" t="n">
        <v>20</v>
      </c>
      <c r="F46" s="4" t="n">
        <v>2</v>
      </c>
      <c r="G46" s="4" t="s">
        <v>19</v>
      </c>
      <c r="H46" s="4" t="n">
        <v>5</v>
      </c>
      <c r="I46" s="4" t="s">
        <v>19</v>
      </c>
      <c r="J46" s="5" t="n">
        <v>50</v>
      </c>
      <c r="K46" s="5" t="n">
        <v>105</v>
      </c>
      <c r="L46" s="5" t="n">
        <v>155</v>
      </c>
      <c r="M46" s="4" t="str">
        <f aca="false">CHOOSE(MOD(B46-1,7)+1,"Monday","Tuesday","Wednesday","Thursday","Friday","Saturday","Sunday")</f>
        <v>Sunday</v>
      </c>
      <c r="N46" s="4" t="str">
        <f aca="false">IF(J46+K46=L46,"OK","MISMATCH")</f>
        <v>OK</v>
      </c>
      <c r="O46" s="4" t="str">
        <f aca="false">IF(COUNTIF($A$5:$A$54,A46)&gt;1,"DUPLICATE","Unique")</f>
        <v>Unique</v>
      </c>
      <c r="P46" s="4" t="n">
        <f aca="false">RANK(L46,Cleaned_Data!$L$5:$L$54,0)+COUNTIF(Cleaned_Data!$L$5:L46,L46)-1</f>
        <v>29</v>
      </c>
    </row>
    <row r="47" customFormat="false" ht="15" hidden="false" customHeight="false" outlineLevel="0" collapsed="false">
      <c r="A47" s="4" t="s">
        <v>61</v>
      </c>
      <c r="B47" s="4" t="n">
        <v>43</v>
      </c>
      <c r="C47" s="4" t="s">
        <v>18</v>
      </c>
      <c r="D47" s="4" t="n">
        <v>23</v>
      </c>
      <c r="E47" s="4" t="n">
        <v>8</v>
      </c>
      <c r="F47" s="4" t="n">
        <v>4</v>
      </c>
      <c r="G47" s="4" t="s">
        <v>19</v>
      </c>
      <c r="H47" s="4" t="n">
        <v>5</v>
      </c>
      <c r="I47" s="4" t="s">
        <v>16</v>
      </c>
      <c r="J47" s="5" t="n">
        <v>100</v>
      </c>
      <c r="K47" s="5" t="n">
        <v>25</v>
      </c>
      <c r="L47" s="5" t="n">
        <v>125</v>
      </c>
      <c r="M47" s="4" t="str">
        <f aca="false">CHOOSE(MOD(B47-1,7)+1,"Monday","Tuesday","Wednesday","Thursday","Friday","Saturday","Sunday")</f>
        <v>Monday</v>
      </c>
      <c r="N47" s="4" t="str">
        <f aca="false">IF(J47+K47=L47,"OK","MISMATCH")</f>
        <v>OK</v>
      </c>
      <c r="O47" s="4" t="str">
        <f aca="false">IF(COUNTIF($A$5:$A$54,A47)&gt;1,"DUPLICATE","Unique")</f>
        <v>Unique</v>
      </c>
      <c r="P47" s="4" t="n">
        <f aca="false">RANK(L47,Cleaned_Data!$L$5:$L$54,0)+COUNTIF(Cleaned_Data!$L$5:L47,L47)-1</f>
        <v>39</v>
      </c>
    </row>
    <row r="48" customFormat="false" ht="15" hidden="false" customHeight="false" outlineLevel="0" collapsed="false">
      <c r="A48" s="4" t="s">
        <v>62</v>
      </c>
      <c r="B48" s="4" t="n">
        <v>44</v>
      </c>
      <c r="C48" s="4" t="s">
        <v>15</v>
      </c>
      <c r="D48" s="4" t="n">
        <v>17</v>
      </c>
      <c r="E48" s="4" t="n">
        <v>1</v>
      </c>
      <c r="F48" s="4" t="n">
        <v>5</v>
      </c>
      <c r="G48" s="4" t="s">
        <v>19</v>
      </c>
      <c r="H48" s="4" t="n">
        <v>5</v>
      </c>
      <c r="I48" s="4" t="s">
        <v>16</v>
      </c>
      <c r="J48" s="5" t="n">
        <v>125</v>
      </c>
      <c r="K48" s="5" t="n">
        <v>25</v>
      </c>
      <c r="L48" s="5" t="n">
        <v>150</v>
      </c>
      <c r="M48" s="4" t="str">
        <f aca="false">CHOOSE(MOD(B48-1,7)+1,"Monday","Tuesday","Wednesday","Thursday","Friday","Saturday","Sunday")</f>
        <v>Tuesday</v>
      </c>
      <c r="N48" s="4" t="str">
        <f aca="false">IF(J48+K48=L48,"OK","MISMATCH")</f>
        <v>OK</v>
      </c>
      <c r="O48" s="4" t="str">
        <f aca="false">IF(COUNTIF($A$5:$A$54,A48)&gt;1,"DUPLICATE","Unique")</f>
        <v>Unique</v>
      </c>
      <c r="P48" s="4" t="n">
        <f aca="false">RANK(L48,Cleaned_Data!$L$5:$L$54,0)+COUNTIF(Cleaned_Data!$L$5:L48,L48)-1</f>
        <v>32</v>
      </c>
    </row>
    <row r="49" customFormat="false" ht="15" hidden="false" customHeight="false" outlineLevel="0" collapsed="false">
      <c r="A49" s="4" t="s">
        <v>63</v>
      </c>
      <c r="B49" s="4" t="n">
        <v>45</v>
      </c>
      <c r="C49" s="4" t="s">
        <v>18</v>
      </c>
      <c r="D49" s="4" t="n">
        <v>25</v>
      </c>
      <c r="E49" s="4" t="n">
        <v>30</v>
      </c>
      <c r="F49" s="4" t="n">
        <v>3</v>
      </c>
      <c r="G49" s="4" t="s">
        <v>16</v>
      </c>
      <c r="H49" s="4" t="n">
        <v>5</v>
      </c>
      <c r="I49" s="4" t="s">
        <v>19</v>
      </c>
      <c r="J49" s="5" t="n">
        <v>75</v>
      </c>
      <c r="K49" s="5" t="n">
        <v>105</v>
      </c>
      <c r="L49" s="5" t="n">
        <v>180</v>
      </c>
      <c r="M49" s="4" t="str">
        <f aca="false">CHOOSE(MOD(B49-1,7)+1,"Monday","Tuesday","Wednesday","Thursday","Friday","Saturday","Sunday")</f>
        <v>Wednesday</v>
      </c>
      <c r="N49" s="4" t="str">
        <f aca="false">IF(J49+K49=L49,"OK","MISMATCH")</f>
        <v>OK</v>
      </c>
      <c r="O49" s="4" t="str">
        <f aca="false">IF(COUNTIF($A$5:$A$54,A49)&gt;1,"DUPLICATE","Unique")</f>
        <v>Unique</v>
      </c>
      <c r="P49" s="4" t="n">
        <f aca="false">RANK(L49,Cleaned_Data!$L$5:$L$54,0)+COUNTIF(Cleaned_Data!$L$5:L49,L49)-1</f>
        <v>20</v>
      </c>
    </row>
    <row r="50" customFormat="false" ht="15" hidden="false" customHeight="false" outlineLevel="0" collapsed="false">
      <c r="A50" s="4" t="s">
        <v>64</v>
      </c>
      <c r="B50" s="4" t="n">
        <v>46</v>
      </c>
      <c r="C50" s="4" t="s">
        <v>21</v>
      </c>
      <c r="D50" s="4" t="n">
        <v>40</v>
      </c>
      <c r="E50" s="4" t="n">
        <v>7</v>
      </c>
      <c r="F50" s="4" t="n">
        <v>3</v>
      </c>
      <c r="G50" s="4" t="s">
        <v>19</v>
      </c>
      <c r="H50" s="4" t="n">
        <v>1</v>
      </c>
      <c r="I50" s="4" t="s">
        <v>19</v>
      </c>
      <c r="J50" s="5" t="n">
        <v>75</v>
      </c>
      <c r="K50" s="5" t="n">
        <v>85</v>
      </c>
      <c r="L50" s="5" t="n">
        <v>160</v>
      </c>
      <c r="M50" s="4" t="str">
        <f aca="false">CHOOSE(MOD(B50-1,7)+1,"Monday","Tuesday","Wednesday","Thursday","Friday","Saturday","Sunday")</f>
        <v>Thursday</v>
      </c>
      <c r="N50" s="4" t="str">
        <f aca="false">IF(J50+K50=L50,"OK","MISMATCH")</f>
        <v>OK</v>
      </c>
      <c r="O50" s="4" t="str">
        <f aca="false">IF(COUNTIF($A$5:$A$54,A50)&gt;1,"DUPLICATE","Unique")</f>
        <v>Unique</v>
      </c>
      <c r="P50" s="4" t="n">
        <f aca="false">RANK(L50,Cleaned_Data!$L$5:$L$54,0)+COUNTIF(Cleaned_Data!$L$5:L50,L50)-1</f>
        <v>27</v>
      </c>
    </row>
    <row r="51" customFormat="false" ht="15" hidden="false" customHeight="false" outlineLevel="0" collapsed="false">
      <c r="A51" s="4" t="s">
        <v>65</v>
      </c>
      <c r="B51" s="4" t="n">
        <v>47</v>
      </c>
      <c r="C51" s="4" t="s">
        <v>15</v>
      </c>
      <c r="D51" s="4" t="n">
        <v>38</v>
      </c>
      <c r="E51" s="4" t="n">
        <v>18</v>
      </c>
      <c r="F51" s="4" t="n">
        <v>7</v>
      </c>
      <c r="G51" s="4" t="s">
        <v>16</v>
      </c>
      <c r="H51" s="4" t="n">
        <v>5</v>
      </c>
      <c r="I51" s="4" t="s">
        <v>16</v>
      </c>
      <c r="J51" s="5" t="n">
        <v>175</v>
      </c>
      <c r="K51" s="5" t="n">
        <v>25</v>
      </c>
      <c r="L51" s="5" t="n">
        <v>200</v>
      </c>
      <c r="M51" s="4" t="str">
        <f aca="false">CHOOSE(MOD(B51-1,7)+1,"Monday","Tuesday","Wednesday","Thursday","Friday","Saturday","Sunday")</f>
        <v>Friday</v>
      </c>
      <c r="N51" s="4" t="str">
        <f aca="false">IF(J51+K51=L51,"OK","MISMATCH")</f>
        <v>OK</v>
      </c>
      <c r="O51" s="4" t="str">
        <f aca="false">IF(COUNTIF($A$5:$A$54,A51)&gt;1,"DUPLICATE","Unique")</f>
        <v>Unique</v>
      </c>
      <c r="P51" s="4" t="n">
        <f aca="false">RANK(L51,Cleaned_Data!$L$5:$L$54,0)+COUNTIF(Cleaned_Data!$L$5:L51,L51)-1</f>
        <v>17</v>
      </c>
    </row>
    <row r="52" customFormat="false" ht="15" hidden="false" customHeight="false" outlineLevel="0" collapsed="false">
      <c r="A52" s="4" t="s">
        <v>66</v>
      </c>
      <c r="B52" s="4" t="n">
        <v>48</v>
      </c>
      <c r="C52" s="4" t="s">
        <v>15</v>
      </c>
      <c r="D52" s="4" t="n">
        <v>44</v>
      </c>
      <c r="E52" s="4" t="n">
        <v>28</v>
      </c>
      <c r="F52" s="4" t="n">
        <v>2</v>
      </c>
      <c r="G52" s="4" t="s">
        <v>16</v>
      </c>
      <c r="H52" s="4" t="n">
        <v>3</v>
      </c>
      <c r="I52" s="4" t="s">
        <v>16</v>
      </c>
      <c r="J52" s="5" t="n">
        <v>50</v>
      </c>
      <c r="K52" s="5" t="n">
        <v>15</v>
      </c>
      <c r="L52" s="5" t="n">
        <v>65</v>
      </c>
      <c r="M52" s="4" t="str">
        <f aca="false">CHOOSE(MOD(B52-1,7)+1,"Monday","Tuesday","Wednesday","Thursday","Friday","Saturday","Sunday")</f>
        <v>Saturday</v>
      </c>
      <c r="N52" s="4" t="str">
        <f aca="false">IF(J52+K52=L52,"OK","MISMATCH")</f>
        <v>OK</v>
      </c>
      <c r="O52" s="4" t="str">
        <f aca="false">IF(COUNTIF($A$5:$A$54,A52)&gt;1,"DUPLICATE","Unique")</f>
        <v>Unique</v>
      </c>
      <c r="P52" s="4" t="n">
        <f aca="false">RANK(L52,Cleaned_Data!$L$5:$L$54,0)+COUNTIF(Cleaned_Data!$L$5:L52,L52)-1</f>
        <v>47</v>
      </c>
    </row>
    <row r="53" customFormat="false" ht="15" hidden="false" customHeight="false" outlineLevel="0" collapsed="false">
      <c r="A53" s="4" t="s">
        <v>67</v>
      </c>
      <c r="B53" s="4" t="n">
        <v>49</v>
      </c>
      <c r="C53" s="4" t="s">
        <v>21</v>
      </c>
      <c r="D53" s="4" t="n">
        <v>36</v>
      </c>
      <c r="E53" s="4" t="n">
        <v>26</v>
      </c>
      <c r="F53" s="4" t="n">
        <v>2</v>
      </c>
      <c r="G53" s="4" t="s">
        <v>19</v>
      </c>
      <c r="H53" s="4" t="n">
        <v>2</v>
      </c>
      <c r="I53" s="4" t="s">
        <v>16</v>
      </c>
      <c r="J53" s="5" t="n">
        <v>50</v>
      </c>
      <c r="K53" s="5" t="n">
        <v>10</v>
      </c>
      <c r="L53" s="5" t="n">
        <v>60</v>
      </c>
      <c r="M53" s="4" t="str">
        <f aca="false">CHOOSE(MOD(B53-1,7)+1,"Monday","Tuesday","Wednesday","Thursday","Friday","Saturday","Sunday")</f>
        <v>Sunday</v>
      </c>
      <c r="N53" s="4" t="str">
        <f aca="false">IF(J53+K53=L53,"OK","MISMATCH")</f>
        <v>OK</v>
      </c>
      <c r="O53" s="4" t="str">
        <f aca="false">IF(COUNTIF($A$5:$A$54,A53)&gt;1,"DUPLICATE","Unique")</f>
        <v>Unique</v>
      </c>
      <c r="P53" s="4" t="n">
        <f aca="false">RANK(L53,Cleaned_Data!$L$5:$L$54,0)+COUNTIF(Cleaned_Data!$L$5:L53,L53)-1</f>
        <v>49</v>
      </c>
    </row>
    <row r="54" customFormat="false" ht="15" hidden="false" customHeight="false" outlineLevel="0" collapsed="false">
      <c r="A54" s="4" t="s">
        <v>68</v>
      </c>
      <c r="B54" s="4" t="n">
        <v>50</v>
      </c>
      <c r="C54" s="4" t="s">
        <v>18</v>
      </c>
      <c r="D54" s="4" t="n">
        <v>37</v>
      </c>
      <c r="E54" s="4" t="n">
        <v>28</v>
      </c>
      <c r="F54" s="4" t="n">
        <v>7</v>
      </c>
      <c r="G54" s="4" t="s">
        <v>16</v>
      </c>
      <c r="H54" s="4" t="n">
        <v>3</v>
      </c>
      <c r="I54" s="4" t="s">
        <v>16</v>
      </c>
      <c r="J54" s="5" t="n">
        <v>175</v>
      </c>
      <c r="K54" s="5" t="n">
        <v>15</v>
      </c>
      <c r="L54" s="5" t="n">
        <v>190</v>
      </c>
      <c r="M54" s="4" t="str">
        <f aca="false">CHOOSE(MOD(B54-1,7)+1,"Monday","Tuesday","Wednesday","Thursday","Friday","Saturday","Sunday")</f>
        <v>Monday</v>
      </c>
      <c r="N54" s="4" t="str">
        <f aca="false">IF(J54+K54=L54,"OK","MISMATCH")</f>
        <v>OK</v>
      </c>
      <c r="O54" s="4" t="str">
        <f aca="false">IF(COUNTIF($A$5:$A$54,A54)&gt;1,"DUPLICATE","Unique")</f>
        <v>Unique</v>
      </c>
      <c r="P54" s="4" t="n">
        <f aca="false">RANK(L54,Cleaned_Data!$L$5:$L$54,0)+COUNTIF(Cleaned_Data!$L$5:L54,L54)-1</f>
        <v>18</v>
      </c>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4"/>
    <col collapsed="false" customWidth="true" hidden="false" outlineLevel="0" max="4" min="3" style="0" width="14"/>
  </cols>
  <sheetData>
    <row r="1" customFormat="false" ht="21.75" hidden="false" customHeight="true" outlineLevel="0" collapsed="false">
      <c r="A1" s="1" t="s">
        <v>75</v>
      </c>
      <c r="B1" s="1"/>
      <c r="C1" s="1"/>
      <c r="D1" s="1"/>
    </row>
    <row r="3" customFormat="false" ht="15" hidden="false" customHeight="false" outlineLevel="0" collapsed="false">
      <c r="A3" s="6" t="s">
        <v>76</v>
      </c>
    </row>
    <row r="4" customFormat="false" ht="15" hidden="false" customHeight="false" outlineLevel="0" collapsed="false">
      <c r="A4" s="7" t="s">
        <v>77</v>
      </c>
      <c r="C4" s="8" t="n">
        <f aca="false">COUNTA(Cleaned_Data!$A$5:$A$54)</f>
        <v>50</v>
      </c>
    </row>
    <row r="5" customFormat="false" ht="15" hidden="false" customHeight="false" outlineLevel="0" collapsed="false">
      <c r="A5" s="7" t="s">
        <v>78</v>
      </c>
      <c r="C5" s="8" t="n">
        <f aca="false">COUNTBLANK(Cleaned_Data!A5:L54)</f>
        <v>0</v>
      </c>
    </row>
    <row r="6" customFormat="false" ht="15" hidden="false" customHeight="false" outlineLevel="0" collapsed="false">
      <c r="A6" s="7" t="s">
        <v>79</v>
      </c>
      <c r="C6" s="8" t="n">
        <f aca="false">COUNTIF(Cleaned_Data!$O$5:$O$54,"DUPLICATE")</f>
        <v>0</v>
      </c>
    </row>
    <row r="7" customFormat="false" ht="15" hidden="false" customHeight="false" outlineLevel="0" collapsed="false">
      <c r="A7" s="7" t="s">
        <v>80</v>
      </c>
      <c r="C7" s="8" t="n">
        <f aca="false">COUNTIF(Cleaned_Data!$N$5:$N$54,"MISMATCH")</f>
        <v>0</v>
      </c>
    </row>
    <row r="8" customFormat="false" ht="15" hidden="false" customHeight="false" outlineLevel="0" collapsed="false">
      <c r="A8" s="7" t="s">
        <v>81</v>
      </c>
      <c r="C8" s="8" t="n">
        <f aca="false">COUNTIF(Cleaned_Data!$F$5:$F$54,"&lt;0")</f>
        <v>0</v>
      </c>
    </row>
    <row r="9" customFormat="false" ht="15" hidden="false" customHeight="false" outlineLevel="0" collapsed="false">
      <c r="A9" s="7" t="s">
        <v>82</v>
      </c>
      <c r="C9" s="8" t="n">
        <f aca="false">COUNTIF(Cleaned_Data!$D$5:$D$54,"&lt;10")+COUNTIF(Cleaned_Data!$D$5:$D$54,"&gt;100")</f>
        <v>0</v>
      </c>
    </row>
    <row r="10" customFormat="false" ht="15" hidden="false" customHeight="false" outlineLevel="0" collapsed="false">
      <c r="A10" s="7" t="s">
        <v>83</v>
      </c>
      <c r="C10" s="8" t="n">
        <f aca="false">COUNTIF(Cleaned_Data!$H$5:$H$54,"&lt;0")</f>
        <v>0</v>
      </c>
    </row>
    <row r="12" customFormat="false" ht="15" hidden="false" customHeight="false" outlineLevel="0" collapsed="false">
      <c r="A12" s="6" t="s">
        <v>84</v>
      </c>
    </row>
    <row r="13" customFormat="false" ht="60" hidden="false" customHeight="true" outlineLevel="0" collapsed="false">
      <c r="A13" s="9" t="str">
        <f aca="false">"After inspecting all "&amp;C4&amp;" records: "&amp;C5&amp;" missing values, "&amp;C6&amp;" duplicate Visit IDs, "&amp;C7&amp;" sales mismatches, and "&amp;C8&amp;" invalid Usage Hours or Age entries were found. The dataset is complete, internally consistent, and ready for analysis without further correction."</f>
        <v>After inspecting all 50 records: 0 missing values, 0 duplicate Visit IDs, 0 sales mismatches, and 0 invalid Usage Hours or Age entries were found. The dataset is complete, internally consistent, and ready for analysis without further correction.</v>
      </c>
      <c r="B13" s="9"/>
      <c r="C13" s="9"/>
      <c r="D13" s="9"/>
    </row>
    <row r="14" customFormat="false" ht="15" hidden="false" customHeight="false" outlineLevel="0" collapsed="false">
      <c r="A14" s="9"/>
      <c r="B14" s="9"/>
      <c r="C14" s="9"/>
      <c r="D14" s="9"/>
    </row>
    <row r="15" customFormat="false" ht="15" hidden="false" customHeight="false" outlineLevel="0" collapsed="false">
      <c r="A15" s="9"/>
      <c r="B15" s="9"/>
      <c r="C15" s="9"/>
      <c r="D15" s="9"/>
    </row>
  </sheetData>
  <mergeCells count="2">
    <mergeCell ref="A1:D1"/>
    <mergeCell ref="A13: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4"/>
  </cols>
  <sheetData>
    <row r="1" customFormat="false" ht="21.75" hidden="false" customHeight="true" outlineLevel="0" collapsed="false">
      <c r="A1" s="1" t="s">
        <v>85</v>
      </c>
      <c r="B1" s="1"/>
      <c r="C1" s="1"/>
      <c r="D1" s="1"/>
      <c r="E1" s="1"/>
    </row>
    <row r="3" customFormat="false" ht="15" hidden="false" customHeight="false" outlineLevel="0" collapsed="false">
      <c r="A3" s="6" t="s">
        <v>86</v>
      </c>
    </row>
    <row r="4" customFormat="false" ht="15" hidden="false" customHeight="false" outlineLevel="0" collapsed="false">
      <c r="A4" s="3" t="s">
        <v>87</v>
      </c>
      <c r="B4" s="3" t="s">
        <v>88</v>
      </c>
      <c r="C4" s="3" t="s">
        <v>89</v>
      </c>
      <c r="D4" s="3" t="s">
        <v>90</v>
      </c>
      <c r="E4" s="3" t="s">
        <v>91</v>
      </c>
    </row>
    <row r="5" customFormat="false" ht="15" hidden="false" customHeight="false" outlineLevel="0" collapsed="false">
      <c r="A5" s="10" t="s">
        <v>92</v>
      </c>
      <c r="B5" s="11" t="n">
        <f aca="false">AVERAGE(Cleaned_Data!$F$5:$F$54)</f>
        <v>4.9</v>
      </c>
      <c r="C5" s="11" t="n">
        <f aca="false">MEDIAN(Cleaned_Data!$F$5:$F$54)</f>
        <v>5</v>
      </c>
      <c r="D5" s="11" t="n">
        <f aca="false">MIN(Cleaned_Data!$F$5:$F$54)</f>
        <v>1</v>
      </c>
      <c r="E5" s="11" t="n">
        <f aca="false">MAX(Cleaned_Data!$F$5:$F$54)</f>
        <v>8</v>
      </c>
    </row>
    <row r="6" customFormat="false" ht="15" hidden="false" customHeight="false" outlineLevel="0" collapsed="false">
      <c r="A6" s="10" t="s">
        <v>93</v>
      </c>
      <c r="B6" s="12" t="n">
        <f aca="false">AVERAGE(Cleaned_Data!$L$5:$L$54)</f>
        <v>166.9</v>
      </c>
      <c r="C6" s="12" t="n">
        <f aca="false">MEDIAN(Cleaned_Data!$L$5:$L$54)</f>
        <v>160</v>
      </c>
      <c r="D6" s="12" t="n">
        <f aca="false">MIN(Cleaned_Data!$L$5:$L$54)</f>
        <v>50</v>
      </c>
      <c r="E6" s="12" t="n">
        <f aca="false">MAX(Cleaned_Data!$L$5:$L$54)</f>
        <v>300</v>
      </c>
    </row>
    <row r="9" customFormat="false" ht="15" hidden="false" customHeight="false" outlineLevel="0" collapsed="false">
      <c r="A9" s="6" t="s">
        <v>94</v>
      </c>
    </row>
    <row r="10" customFormat="false" ht="15" hidden="false" customHeight="false" outlineLevel="0" collapsed="false">
      <c r="A10" s="7" t="s">
        <v>95</v>
      </c>
      <c r="B10" s="13" t="n">
        <f aca="false">COUNTA(Cleaned_Data!$A$5:$A$54)</f>
        <v>50</v>
      </c>
    </row>
    <row r="11" customFormat="false" ht="15" hidden="false" customHeight="false" outlineLevel="0" collapsed="false">
      <c r="A11" s="7" t="s">
        <v>96</v>
      </c>
      <c r="B11" s="14" t="n">
        <f aca="false">SUM(Cleaned_Data!$L$5:$L$54)</f>
        <v>8345</v>
      </c>
    </row>
    <row r="12" customFormat="false" ht="15" hidden="false" customHeight="false" outlineLevel="0" collapsed="false">
      <c r="A12" s="7" t="s">
        <v>97</v>
      </c>
      <c r="B12" s="14" t="n">
        <f aca="false">B11/B10</f>
        <v>166.9</v>
      </c>
    </row>
    <row r="15" customFormat="false" ht="15" hidden="false" customHeight="false" outlineLevel="0" collapsed="false">
      <c r="A15" s="6" t="s">
        <v>98</v>
      </c>
    </row>
    <row r="16" customFormat="false" ht="99.75" hidden="false" customHeight="true" outlineLevel="0" collapsed="false">
      <c r="A16" s="15" t="str">
        <f aca="false">"On average, customers use the computer for "&amp;TEXT(B5,"0.0")&amp;" hours per visit (range: "&amp;D5&amp;"–"&amp;E5&amp;" hours). Average spending per visit is Php "&amp;TEXT(B12,"#,##0.00")&amp;", and the café generated a total of Php "&amp;TEXT(B11,"#,##0.00")&amp;" in sales across "&amp;B10&amp;" visits. The spread between the minimum (Php "&amp;TEXT(D6,"#,##0")&amp;") and maximum (Php "&amp;TEXT(E6,"#,##0")&amp;") single-visit sale shows that a small number of high-value visits (likely longer usage or food/printing add-ons) pull the average upward relative to the median (Php "&amp;TEXT(C6,"#,##0")&amp;")."</f>
        <v>On average, customers use the computer for 4.9 hours per visit (range: 1–8 hours). Average spending per visit is Php 166.90, and the café generated a total of Php 8,345.00 in sales across 50 visits. The spread between the minimum (Php 50) and maximum (Php 300) single-visit sale shows that a small number of high-value visits (likely longer usage or food/printing add-ons) pull the average upward relative to the median (Php 160).</v>
      </c>
      <c r="B16" s="15"/>
      <c r="C16" s="15"/>
      <c r="D16" s="15"/>
      <c r="E16" s="15"/>
    </row>
    <row r="17" customFormat="false" ht="15" hidden="false" customHeight="false" outlineLevel="0" collapsed="false">
      <c r="A17" s="15"/>
      <c r="B17" s="15"/>
      <c r="C17" s="15"/>
      <c r="D17" s="15"/>
      <c r="E17" s="15"/>
    </row>
    <row r="18" customFormat="false" ht="15" hidden="false" customHeight="false" outlineLevel="0" collapsed="false">
      <c r="A18" s="15"/>
      <c r="B18" s="15"/>
      <c r="C18" s="15"/>
      <c r="D18" s="15"/>
      <c r="E18" s="15"/>
    </row>
    <row r="19" customFormat="false" ht="15" hidden="false" customHeight="false" outlineLevel="0" collapsed="false">
      <c r="A19" s="15"/>
      <c r="B19" s="15"/>
      <c r="C19" s="15"/>
      <c r="D19" s="15"/>
      <c r="E19" s="15"/>
    </row>
    <row r="20" customFormat="false" ht="15" hidden="false" customHeight="false" outlineLevel="0" collapsed="false">
      <c r="A20" s="15"/>
      <c r="B20" s="15"/>
      <c r="C20" s="15"/>
      <c r="D20" s="15"/>
      <c r="E20" s="15"/>
    </row>
  </sheetData>
  <mergeCells count="2">
    <mergeCell ref="A1:E1"/>
    <mergeCell ref="A16: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16"/>
    <col collapsed="false" customWidth="true" hidden="false" outlineLevel="0" max="4" min="4" style="0" width="15"/>
    <col collapsed="false" customWidth="true" hidden="false" outlineLevel="0" max="5" min="5" style="0" width="16"/>
    <col collapsed="false" customWidth="true" hidden="false" outlineLevel="0" max="6" min="6" style="0" width="20"/>
  </cols>
  <sheetData>
    <row r="1" customFormat="false" ht="21.75" hidden="false" customHeight="true" outlineLevel="0" collapsed="false">
      <c r="A1" s="1" t="s">
        <v>99</v>
      </c>
      <c r="B1" s="1"/>
      <c r="C1" s="1"/>
      <c r="D1" s="1"/>
      <c r="E1" s="1"/>
      <c r="F1" s="1"/>
    </row>
    <row r="2" customFormat="false" ht="15" hidden="false" customHeight="false" outlineLevel="0" collapsed="false">
      <c r="A2" s="2" t="s">
        <v>100</v>
      </c>
      <c r="B2" s="2"/>
      <c r="C2" s="2"/>
      <c r="D2" s="2"/>
      <c r="E2" s="2"/>
      <c r="F2" s="2"/>
    </row>
    <row r="4" customFormat="false" ht="23.85" hidden="false" customHeight="false" outlineLevel="0" collapsed="false">
      <c r="A4" s="3" t="s">
        <v>101</v>
      </c>
      <c r="B4" s="3" t="s">
        <v>102</v>
      </c>
      <c r="C4" s="3" t="s">
        <v>103</v>
      </c>
      <c r="D4" s="3" t="s">
        <v>104</v>
      </c>
      <c r="E4" s="3" t="s">
        <v>93</v>
      </c>
      <c r="F4" s="3" t="s">
        <v>105</v>
      </c>
    </row>
    <row r="5" customFormat="false" ht="15" hidden="false" customHeight="false" outlineLevel="0" collapsed="false">
      <c r="A5" s="10" t="s">
        <v>18</v>
      </c>
      <c r="B5" s="5" t="n">
        <f aca="false">COUNTIF(Cleaned_Data!$C$5:$C$54,A5)</f>
        <v>20</v>
      </c>
      <c r="C5" s="5" t="n">
        <f aca="false">SUMIF(Cleaned_Data!$C$5:$C$54,A5,Cleaned_Data!$F$5:$F$54)</f>
        <v>94</v>
      </c>
      <c r="D5" s="11" t="n">
        <f aca="false">C5/B5</f>
        <v>4.7</v>
      </c>
      <c r="E5" s="12" t="n">
        <f aca="false">SUMIF(Cleaned_Data!$C$5:$C$54,A5,Cleaned_Data!$L$5:$L$54)</f>
        <v>3315</v>
      </c>
      <c r="F5" s="12" t="n">
        <f aca="false">E5/B5</f>
        <v>165.75</v>
      </c>
    </row>
    <row r="6" customFormat="false" ht="15" hidden="false" customHeight="false" outlineLevel="0" collapsed="false">
      <c r="A6" s="10" t="s">
        <v>21</v>
      </c>
      <c r="B6" s="5" t="n">
        <f aca="false">COUNTIF(Cleaned_Data!$C$5:$C$54,A6)</f>
        <v>15</v>
      </c>
      <c r="C6" s="5" t="n">
        <f aca="false">SUMIF(Cleaned_Data!$C$5:$C$54,A6,Cleaned_Data!$F$5:$F$54)</f>
        <v>76</v>
      </c>
      <c r="D6" s="11" t="n">
        <f aca="false">C6/B6</f>
        <v>5.06666666666667</v>
      </c>
      <c r="E6" s="12" t="n">
        <f aca="false">SUMIF(Cleaned_Data!$C$5:$C$54,A6,Cleaned_Data!$L$5:$L$54)</f>
        <v>2375</v>
      </c>
      <c r="F6" s="12" t="n">
        <f aca="false">E6/B6</f>
        <v>158.333333333333</v>
      </c>
    </row>
    <row r="7" customFormat="false" ht="15" hidden="false" customHeight="false" outlineLevel="0" collapsed="false">
      <c r="A7" s="10" t="s">
        <v>15</v>
      </c>
      <c r="B7" s="5" t="n">
        <f aca="false">COUNTIF(Cleaned_Data!$C$5:$C$54,A7)</f>
        <v>15</v>
      </c>
      <c r="C7" s="5" t="n">
        <f aca="false">SUMIF(Cleaned_Data!$C$5:$C$54,A7,Cleaned_Data!$F$5:$F$54)</f>
        <v>75</v>
      </c>
      <c r="D7" s="11" t="n">
        <f aca="false">C7/B7</f>
        <v>5</v>
      </c>
      <c r="E7" s="12" t="n">
        <f aca="false">SUMIF(Cleaned_Data!$C$5:$C$54,A7,Cleaned_Data!$L$5:$L$54)</f>
        <v>2655</v>
      </c>
      <c r="F7" s="12" t="n">
        <f aca="false">E7/B7</f>
        <v>177</v>
      </c>
    </row>
    <row r="8" customFormat="false" ht="15" hidden="false" customHeight="false" outlineLevel="0" collapsed="false">
      <c r="A8" s="16" t="s">
        <v>106</v>
      </c>
      <c r="B8" s="17" t="n">
        <f aca="false">SUM(B5:B7)</f>
        <v>50</v>
      </c>
      <c r="C8" s="17" t="n">
        <f aca="false">SUM(C5:C7)</f>
        <v>245</v>
      </c>
      <c r="D8" s="18" t="n">
        <f aca="false">C8/B8</f>
        <v>4.9</v>
      </c>
      <c r="E8" s="18" t="n">
        <f aca="false">SUM(E5:E7)</f>
        <v>8345</v>
      </c>
      <c r="F8" s="18" t="n">
        <f aca="false">E8/B8</f>
        <v>166.9</v>
      </c>
    </row>
    <row r="28" customFormat="false" ht="15" hidden="false" customHeight="false" outlineLevel="0" collapsed="false">
      <c r="A28" s="6" t="s">
        <v>107</v>
      </c>
    </row>
    <row r="29" customFormat="false" ht="90" hidden="false" customHeight="true" outlineLevel="0" collapsed="false">
      <c r="A29" s="15" t="str">
        <f aca="false">"Students make up the largest customer segment with "&amp;B5&amp;" visits, followed by Worker and Other customer types. "&amp;INDEX(A5:A7,MATCH(MAX(E5:E7),E5:E7,0))&amp;" customers generate the highest total sales (Php "&amp;TEXT(MAX(E5:E7),"#,##0")&amp;"), while "&amp;INDEX(A5:A7,MATCH(MAX(F5:F7),F5:F7,0))&amp;" customers spend the most per visit on average (Php "&amp;TEXT(MAX(F5:F7),"#,##0.00")&amp;"). This suggests the café should tailor promotions differently for each segment — e.g., bundled study-hour rates for students versus premium/priority service for the higher-spending segment."</f>
        <v>Students make up the largest customer segment with 20 visits, followed by Worker and Other customer types. Student customers generate the highest total sales (Php 3,315), while Other customers spend the most per visit on average (Php 177.00). This suggests the café should tailor promotions differently for each segment — e.g., bundled study-hour rates for students versus premium/priority service for the higher-spending segment.</v>
      </c>
      <c r="B29" s="15"/>
      <c r="C29" s="15"/>
      <c r="D29" s="15"/>
      <c r="E29" s="15"/>
      <c r="F29" s="15"/>
    </row>
    <row r="30" customFormat="false" ht="15" hidden="false" customHeight="false" outlineLevel="0" collapsed="false">
      <c r="A30" s="15"/>
      <c r="B30" s="15"/>
      <c r="C30" s="15"/>
      <c r="D30" s="15"/>
      <c r="E30" s="15"/>
      <c r="F30" s="15"/>
    </row>
    <row r="31" customFormat="false" ht="15" hidden="false" customHeight="false" outlineLevel="0" collapsed="false">
      <c r="A31" s="15"/>
      <c r="B31" s="15"/>
      <c r="C31" s="15"/>
      <c r="D31" s="15"/>
      <c r="E31" s="15"/>
      <c r="F31" s="15"/>
    </row>
    <row r="32" customFormat="false" ht="15" hidden="false" customHeight="false" outlineLevel="0" collapsed="false">
      <c r="A32" s="15"/>
      <c r="B32" s="15"/>
      <c r="C32" s="15"/>
      <c r="D32" s="15"/>
      <c r="E32" s="15"/>
      <c r="F32" s="15"/>
    </row>
    <row r="33" customFormat="false" ht="15" hidden="false" customHeight="false" outlineLevel="0" collapsed="false">
      <c r="A33" s="15"/>
      <c r="B33" s="15"/>
      <c r="C33" s="15"/>
      <c r="D33" s="15"/>
      <c r="E33" s="15"/>
      <c r="F33" s="15"/>
    </row>
  </sheetData>
  <mergeCells count="3">
    <mergeCell ref="A1:F1"/>
    <mergeCell ref="A2:F2"/>
    <mergeCell ref="A29: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4"/>
  </cols>
  <sheetData>
    <row r="1" customFormat="false" ht="21.75" hidden="false" customHeight="true" outlineLevel="0" collapsed="false">
      <c r="A1" s="1" t="s">
        <v>108</v>
      </c>
      <c r="B1" s="1"/>
      <c r="C1" s="1"/>
    </row>
    <row r="3" customFormat="false" ht="15" hidden="false" customHeight="false" outlineLevel="0" collapsed="false">
      <c r="A3" s="6" t="s">
        <v>109</v>
      </c>
    </row>
    <row r="4" customFormat="false" ht="15" hidden="false" customHeight="false" outlineLevel="0" collapsed="false">
      <c r="A4" s="7" t="s">
        <v>110</v>
      </c>
      <c r="B4" s="13" t="n">
        <f aca="false">COUNTIF(Cleaned_Data!$G$5:$G$54,"Yes")</f>
        <v>22</v>
      </c>
    </row>
    <row r="5" customFormat="false" ht="15" hidden="false" customHeight="false" outlineLevel="0" collapsed="false">
      <c r="A5" s="7" t="s">
        <v>111</v>
      </c>
      <c r="B5" s="13" t="n">
        <f aca="false">COUNTIF(Cleaned_Data!$G$5:$G$54,"No")</f>
        <v>28</v>
      </c>
    </row>
    <row r="6" customFormat="false" ht="15" hidden="false" customHeight="false" outlineLevel="0" collapsed="false">
      <c r="A6" s="7" t="s">
        <v>112</v>
      </c>
      <c r="B6" s="19" t="n">
        <f aca="false">B4/COUNTA(Cleaned_Data!$A$5:$A$54)*100</f>
        <v>44</v>
      </c>
    </row>
    <row r="9" customFormat="false" ht="15" hidden="false" customHeight="false" outlineLevel="0" collapsed="false">
      <c r="A9" s="6" t="s">
        <v>113</v>
      </c>
    </row>
    <row r="10" customFormat="false" ht="15" hidden="false" customHeight="false" outlineLevel="0" collapsed="false">
      <c r="A10" s="7" t="s">
        <v>114</v>
      </c>
      <c r="B10" s="13" t="n">
        <f aca="false">SUM(Cleaned_Data!$H$5:$H$54)</f>
        <v>220</v>
      </c>
    </row>
    <row r="11" customFormat="false" ht="15" hidden="false" customHeight="false" outlineLevel="0" collapsed="false">
      <c r="A11" s="7" t="s">
        <v>115</v>
      </c>
      <c r="B11" s="13" t="n">
        <f aca="false">COUNTIF(Cleaned_Data!$H$5:$H$54,"&gt;0")</f>
        <v>42</v>
      </c>
    </row>
    <row r="12" customFormat="false" ht="15" hidden="false" customHeight="false" outlineLevel="0" collapsed="false">
      <c r="A12" s="7" t="s">
        <v>116</v>
      </c>
      <c r="B12" s="19" t="n">
        <f aca="false">AVERAGE(Cleaned_Data!$H$5:$H$54)</f>
        <v>4.4</v>
      </c>
    </row>
    <row r="15" customFormat="false" ht="15" hidden="false" customHeight="false" outlineLevel="0" collapsed="false">
      <c r="A15" s="6" t="s">
        <v>107</v>
      </c>
    </row>
    <row r="16" customFormat="false" ht="79.5" hidden="false" customHeight="true" outlineLevel="0" collapsed="false">
      <c r="A16" s="15" t="str">
        <f aca="false">"Gaming Service is used in "&amp;TEXT(B6,"0.0")&amp;"% of visits ("&amp;B4&amp;" out of "&amp;(B4+B5)&amp;"), showing it is a popular but not dominant add-on. Printing is used by "&amp;B11&amp;" customers, totaling "&amp;B10&amp;" pages ("&amp;TEXT(B12,"0.0")&amp;" pages/visit on average) — this is a meaningful secondary revenue stream worth highlighting alongside internet time."</f>
        <v>Gaming Service is used in 44.0% of visits (22 out of 50), showing it is a popular but not dominant add-on. Printing is used by 42 customers, totaling 220 pages (4.4 pages/visit on average) — this is a meaningful secondary revenue stream worth highlighting alongside internet time.</v>
      </c>
      <c r="B16" s="15"/>
      <c r="C16" s="15"/>
    </row>
    <row r="17" customFormat="false" ht="15" hidden="false" customHeight="false" outlineLevel="0" collapsed="false">
      <c r="A17" s="15"/>
      <c r="B17" s="15"/>
      <c r="C17" s="15"/>
    </row>
    <row r="18" customFormat="false" ht="15" hidden="false" customHeight="false" outlineLevel="0" collapsed="false">
      <c r="A18" s="15"/>
      <c r="B18" s="15"/>
      <c r="C18" s="15"/>
    </row>
    <row r="19" customFormat="false" ht="15" hidden="false" customHeight="false" outlineLevel="0" collapsed="false">
      <c r="A19" s="15"/>
      <c r="B19" s="15"/>
      <c r="C19" s="15"/>
    </row>
  </sheetData>
  <mergeCells count="2">
    <mergeCell ref="A1:C1"/>
    <mergeCell ref="A16: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0"/>
  </cols>
  <sheetData>
    <row r="1" customFormat="false" ht="21.75" hidden="false" customHeight="true" outlineLevel="0" collapsed="false">
      <c r="A1" s="1" t="s">
        <v>117</v>
      </c>
      <c r="B1" s="1"/>
      <c r="C1" s="1"/>
    </row>
    <row r="3" customFormat="false" ht="15" hidden="false" customHeight="false" outlineLevel="0" collapsed="false">
      <c r="A3" s="3" t="s">
        <v>118</v>
      </c>
      <c r="B3" s="3" t="s">
        <v>93</v>
      </c>
      <c r="C3" s="3" t="s">
        <v>119</v>
      </c>
    </row>
    <row r="4" customFormat="false" ht="15" hidden="false" customHeight="false" outlineLevel="0" collapsed="false">
      <c r="A4" s="10" t="s">
        <v>120</v>
      </c>
      <c r="B4" s="12" t="n">
        <f aca="false">SUM(Cleaned_Data!$J$5:$J$54)</f>
        <v>6125</v>
      </c>
      <c r="C4" s="20" t="n">
        <f aca="false">B4/(B4+B5)*100</f>
        <v>73.397243858598</v>
      </c>
    </row>
    <row r="5" customFormat="false" ht="15" hidden="false" customHeight="false" outlineLevel="0" collapsed="false">
      <c r="A5" s="10" t="s">
        <v>121</v>
      </c>
      <c r="B5" s="12" t="n">
        <f aca="false">SUM(Cleaned_Data!$K$5:$K$54)</f>
        <v>2220</v>
      </c>
      <c r="C5" s="20" t="n">
        <f aca="false">B5/(B4+B5)*100</f>
        <v>26.602756141402</v>
      </c>
    </row>
    <row r="6" customFormat="false" ht="15" hidden="false" customHeight="false" outlineLevel="0" collapsed="false">
      <c r="A6" s="16" t="s">
        <v>106</v>
      </c>
      <c r="B6" s="18" t="n">
        <f aca="false">SUM(B4:B5)</f>
        <v>8345</v>
      </c>
      <c r="C6" s="21" t="n">
        <f aca="false">SUM(C4:C5)</f>
        <v>100</v>
      </c>
    </row>
    <row r="8" customFormat="false" ht="15" hidden="false" customHeight="false" outlineLevel="0" collapsed="false">
      <c r="A8" s="22" t="s">
        <v>122</v>
      </c>
      <c r="B8" s="23" t="str">
        <f aca="false">IF(B4&gt;B5,"Internet Sales","Other Sales")</f>
        <v>Internet Sales</v>
      </c>
      <c r="C8" s="23"/>
    </row>
    <row r="28" customFormat="false" ht="15" hidden="false" customHeight="false" outlineLevel="0" collapsed="false">
      <c r="A28" s="6" t="s">
        <v>107</v>
      </c>
    </row>
    <row r="29" customFormat="false" ht="90" hidden="false" customHeight="true" outlineLevel="0" collapsed="false">
      <c r="A29" s="15" t="str">
        <f aca="false">"Internet Sales is the primary revenue driver, contributing Php "&amp;TEXT(B4,"#,##0")&amp;" ("&amp;TEXT(C4,"0.0")&amp;"% of total revenue), compared to Php "&amp;TEXT(B5,"#,##0")&amp;" ("&amp;TEXT(C5,"0.0")&amp;"%) from Other Sales (food, printing, and gaming add-ons combined). This indicates computer/internet rental time remains the café's core product, while other services act as valuable upsell opportunities rather than primary income."</f>
        <v>Internet Sales is the primary revenue driver, contributing Php 6,125 (73.4% of total revenue), compared to Php 2,220 (26.6%) from Other Sales (food, printing, and gaming add-ons combined). This indicates computer/internet rental time remains the café's core product, while other services act as valuable upsell opportunities rather than primary income.</v>
      </c>
      <c r="B29" s="15"/>
      <c r="C29" s="15"/>
    </row>
    <row r="30" customFormat="false" ht="15" hidden="false" customHeight="false" outlineLevel="0" collapsed="false">
      <c r="A30" s="15"/>
      <c r="B30" s="15"/>
      <c r="C30" s="15"/>
    </row>
    <row r="31" customFormat="false" ht="15" hidden="false" customHeight="false" outlineLevel="0" collapsed="false">
      <c r="A31" s="15"/>
      <c r="B31" s="15"/>
      <c r="C31" s="15"/>
    </row>
    <row r="32" customFormat="false" ht="15" hidden="false" customHeight="false" outlineLevel="0" collapsed="false">
      <c r="A32" s="15"/>
      <c r="B32" s="15"/>
      <c r="C32" s="15"/>
    </row>
    <row r="33" customFormat="false" ht="15" hidden="false" customHeight="false" outlineLevel="0" collapsed="false">
      <c r="A33" s="15"/>
      <c r="B33" s="15"/>
      <c r="C33" s="15"/>
    </row>
  </sheetData>
  <mergeCells count="3">
    <mergeCell ref="A1:C1"/>
    <mergeCell ref="B8:C8"/>
    <mergeCell ref="A29: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8"/>
    <col collapsed="false" customWidth="true" hidden="false" outlineLevel="0" max="4" min="4" style="0" width="20"/>
  </cols>
  <sheetData>
    <row r="1" customFormat="false" ht="21.75" hidden="false" customHeight="true" outlineLevel="0" collapsed="false">
      <c r="A1" s="1" t="s">
        <v>123</v>
      </c>
      <c r="B1" s="1"/>
      <c r="C1" s="1"/>
      <c r="D1" s="1"/>
    </row>
    <row r="2" customFormat="false" ht="15" hidden="false" customHeight="false" outlineLevel="0" collapsed="false">
      <c r="A2" s="2" t="s">
        <v>124</v>
      </c>
      <c r="B2" s="2"/>
      <c r="C2" s="2"/>
      <c r="D2" s="2"/>
    </row>
    <row r="4" customFormat="false" ht="23.85" hidden="false" customHeight="false" outlineLevel="0" collapsed="false">
      <c r="A4" s="3" t="s">
        <v>125</v>
      </c>
      <c r="B4" s="3" t="s">
        <v>102</v>
      </c>
      <c r="C4" s="3" t="s">
        <v>93</v>
      </c>
      <c r="D4" s="3" t="s">
        <v>105</v>
      </c>
    </row>
    <row r="5" customFormat="false" ht="15" hidden="false" customHeight="false" outlineLevel="0" collapsed="false">
      <c r="A5" s="10" t="s">
        <v>126</v>
      </c>
      <c r="B5" s="5" t="n">
        <f aca="false">COUNTIF(Cleaned_Data!$M$5:$M$54,A5)</f>
        <v>8</v>
      </c>
      <c r="C5" s="12" t="n">
        <f aca="false">SUMIF(Cleaned_Data!$M$5:$M$54,A5,Cleaned_Data!$L$5:$L$54)</f>
        <v>1490</v>
      </c>
      <c r="D5" s="12" t="n">
        <f aca="false">C5/B5</f>
        <v>186.25</v>
      </c>
    </row>
    <row r="6" customFormat="false" ht="15" hidden="false" customHeight="false" outlineLevel="0" collapsed="false">
      <c r="A6" s="10" t="s">
        <v>127</v>
      </c>
      <c r="B6" s="5" t="n">
        <f aca="false">COUNTIF(Cleaned_Data!$M$5:$M$54,A6)</f>
        <v>7</v>
      </c>
      <c r="C6" s="12" t="n">
        <f aca="false">SUMIF(Cleaned_Data!$M$5:$M$54,A6,Cleaned_Data!$L$5:$L$54)</f>
        <v>995</v>
      </c>
      <c r="D6" s="12" t="n">
        <f aca="false">C6/B6</f>
        <v>142.142857142857</v>
      </c>
    </row>
    <row r="7" customFormat="false" ht="15" hidden="false" customHeight="false" outlineLevel="0" collapsed="false">
      <c r="A7" s="10" t="s">
        <v>128</v>
      </c>
      <c r="B7" s="5" t="n">
        <f aca="false">COUNTIF(Cleaned_Data!$M$5:$M$54,A7)</f>
        <v>7</v>
      </c>
      <c r="C7" s="12" t="n">
        <f aca="false">SUMIF(Cleaned_Data!$M$5:$M$54,A7,Cleaned_Data!$L$5:$L$54)</f>
        <v>1290</v>
      </c>
      <c r="D7" s="12" t="n">
        <f aca="false">C7/B7</f>
        <v>184.285714285714</v>
      </c>
    </row>
    <row r="8" customFormat="false" ht="15" hidden="false" customHeight="false" outlineLevel="0" collapsed="false">
      <c r="A8" s="10" t="s">
        <v>129</v>
      </c>
      <c r="B8" s="5" t="n">
        <f aca="false">COUNTIF(Cleaned_Data!$M$5:$M$54,A8)</f>
        <v>7</v>
      </c>
      <c r="C8" s="12" t="n">
        <f aca="false">SUMIF(Cleaned_Data!$M$5:$M$54,A8,Cleaned_Data!$L$5:$L$54)</f>
        <v>1205</v>
      </c>
      <c r="D8" s="12" t="n">
        <f aca="false">C8/B8</f>
        <v>172.142857142857</v>
      </c>
    </row>
    <row r="9" customFormat="false" ht="15" hidden="false" customHeight="false" outlineLevel="0" collapsed="false">
      <c r="A9" s="10" t="s">
        <v>130</v>
      </c>
      <c r="B9" s="5" t="n">
        <f aca="false">COUNTIF(Cleaned_Data!$M$5:$M$54,A9)</f>
        <v>7</v>
      </c>
      <c r="C9" s="12" t="n">
        <f aca="false">SUMIF(Cleaned_Data!$M$5:$M$54,A9,Cleaned_Data!$L$5:$L$54)</f>
        <v>1280</v>
      </c>
      <c r="D9" s="12" t="n">
        <f aca="false">C9/B9</f>
        <v>182.857142857143</v>
      </c>
    </row>
    <row r="10" customFormat="false" ht="15" hidden="false" customHeight="false" outlineLevel="0" collapsed="false">
      <c r="A10" s="10" t="s">
        <v>131</v>
      </c>
      <c r="B10" s="5" t="n">
        <f aca="false">COUNTIF(Cleaned_Data!$M$5:$M$54,A10)</f>
        <v>7</v>
      </c>
      <c r="C10" s="12" t="n">
        <f aca="false">SUMIF(Cleaned_Data!$M$5:$M$54,A10,Cleaned_Data!$L$5:$L$54)</f>
        <v>1035</v>
      </c>
      <c r="D10" s="12" t="n">
        <f aca="false">C10/B10</f>
        <v>147.857142857143</v>
      </c>
    </row>
    <row r="11" customFormat="false" ht="15" hidden="false" customHeight="false" outlineLevel="0" collapsed="false">
      <c r="A11" s="10" t="s">
        <v>132</v>
      </c>
      <c r="B11" s="5" t="n">
        <f aca="false">COUNTIF(Cleaned_Data!$M$5:$M$54,A11)</f>
        <v>7</v>
      </c>
      <c r="C11" s="12" t="n">
        <f aca="false">SUMIF(Cleaned_Data!$M$5:$M$54,A11,Cleaned_Data!$L$5:$L$54)</f>
        <v>1050</v>
      </c>
      <c r="D11" s="12" t="n">
        <f aca="false">C11/B11</f>
        <v>150</v>
      </c>
    </row>
    <row r="12" customFormat="false" ht="15" hidden="false" customHeight="false" outlineLevel="0" collapsed="false">
      <c r="A12" s="24" t="s">
        <v>133</v>
      </c>
      <c r="B12" s="23" t="str">
        <f aca="false">INDEX(A5:A11,MATCH(MAX(C5:C11),C5:C11,0))</f>
        <v>Monday</v>
      </c>
      <c r="C12" s="23"/>
      <c r="D12" s="23"/>
    </row>
    <row r="13" customFormat="false" ht="15" hidden="false" customHeight="false" outlineLevel="0" collapsed="false">
      <c r="A13" s="24" t="s">
        <v>134</v>
      </c>
      <c r="B13" s="23" t="str">
        <f aca="false">INDEX(A5:A11,MATCH(MIN(C5:C11),C5:C11,0))</f>
        <v>Tuesday</v>
      </c>
      <c r="C13" s="23"/>
      <c r="D13" s="23"/>
    </row>
    <row r="34" customFormat="false" ht="15" hidden="false" customHeight="false" outlineLevel="0" collapsed="false">
      <c r="A34" s="6" t="s">
        <v>107</v>
      </c>
    </row>
    <row r="35" customFormat="false" ht="69.75" hidden="false" customHeight="true" outlineLevel="0" collapsed="false">
      <c r="A35" s="15" t="str">
        <f aca="false">"Sales peak on "&amp;B12&amp;" and are weakest on "&amp;B13&amp;". This pattern is useful for staffing and promotions — management can schedule more staff or run "&amp;B12&amp;" specials to capture peak demand, and run promos or discounts on "&amp;B13&amp;" to boost slow-day traffic."</f>
        <v>Sales peak on Monday and are weakest on Tuesday. This pattern is useful for staffing and promotions — management can schedule more staff or run Monday specials to capture peak demand, and run promos or discounts on Tuesday to boost slow-day traffic.</v>
      </c>
      <c r="B35" s="15"/>
      <c r="C35" s="15"/>
      <c r="D35" s="15"/>
    </row>
    <row r="36" customFormat="false" ht="15" hidden="false" customHeight="false" outlineLevel="0" collapsed="false">
      <c r="A36" s="15"/>
      <c r="B36" s="15"/>
      <c r="C36" s="15"/>
      <c r="D36" s="15"/>
    </row>
    <row r="37" customFormat="false" ht="15" hidden="false" customHeight="false" outlineLevel="0" collapsed="false">
      <c r="A37" s="15"/>
      <c r="B37" s="15"/>
      <c r="C37" s="15"/>
      <c r="D37" s="15"/>
    </row>
    <row r="38" customFormat="false" ht="15" hidden="false" customHeight="false" outlineLevel="0" collapsed="false">
      <c r="A38" s="15"/>
      <c r="B38" s="15"/>
      <c r="C38" s="15"/>
      <c r="D38" s="15"/>
    </row>
  </sheetData>
  <mergeCells count="5">
    <mergeCell ref="A1:D1"/>
    <mergeCell ref="A2:D2"/>
    <mergeCell ref="B12:D12"/>
    <mergeCell ref="B13:D13"/>
    <mergeCell ref="A35: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8"/>
  </cols>
  <sheetData>
    <row r="1" customFormat="false" ht="21.75" hidden="false" customHeight="true" outlineLevel="0" collapsed="false">
      <c r="A1" s="1" t="s">
        <v>135</v>
      </c>
      <c r="B1" s="1"/>
      <c r="C1" s="1"/>
      <c r="D1" s="1"/>
      <c r="E1" s="1"/>
    </row>
    <row r="2" customFormat="false" ht="15" hidden="false" customHeight="false" outlineLevel="0" collapsed="false">
      <c r="A2" s="2" t="s">
        <v>136</v>
      </c>
      <c r="B2" s="2"/>
      <c r="C2" s="2"/>
      <c r="D2" s="2"/>
      <c r="E2" s="2"/>
    </row>
    <row r="4" customFormat="false" ht="15" hidden="false" customHeight="false" outlineLevel="0" collapsed="false">
      <c r="A4" s="3" t="s">
        <v>137</v>
      </c>
      <c r="B4" s="3" t="s">
        <v>138</v>
      </c>
      <c r="C4" s="3" t="s">
        <v>101</v>
      </c>
      <c r="D4" s="3" t="s">
        <v>139</v>
      </c>
      <c r="E4" s="3" t="s">
        <v>93</v>
      </c>
    </row>
    <row r="5" customFormat="false" ht="15" hidden="false" customHeight="false" outlineLevel="0" collapsed="false">
      <c r="A5" s="25" t="n">
        <v>1</v>
      </c>
      <c r="B5" s="4" t="str">
        <f aca="false">INDEX(Cleaned_Data!$A$5:$A$54,MATCH(1,Cleaned_Data!$P$5:$P$54,0))</f>
        <v>V5010</v>
      </c>
      <c r="C5" s="4" t="str">
        <f aca="false">INDEX(Cleaned_Data!$C$5:$C$54,MATCH(1,Cleaned_Data!$P$5:$P$54,0))</f>
        <v>Other</v>
      </c>
      <c r="D5" s="5" t="n">
        <f aca="false">INDEX(Cleaned_Data!$F$5:$F$54,MATCH(1,Cleaned_Data!$P$5:$P$54,0))</f>
        <v>7</v>
      </c>
      <c r="E5" s="12" t="n">
        <f aca="false">INDEX(Cleaned_Data!$L$5:$L$54,MATCH(1,Cleaned_Data!$P$5:$P$54,0))</f>
        <v>300</v>
      </c>
    </row>
    <row r="6" customFormat="false" ht="15" hidden="false" customHeight="false" outlineLevel="0" collapsed="false">
      <c r="A6" s="25" t="n">
        <v>2</v>
      </c>
      <c r="B6" s="4" t="str">
        <f aca="false">INDEX(Cleaned_Data!$A$5:$A$54,MATCH(2,Cleaned_Data!$P$5:$P$54,0))</f>
        <v>V5014</v>
      </c>
      <c r="C6" s="4" t="str">
        <f aca="false">INDEX(Cleaned_Data!$C$5:$C$54,MATCH(2,Cleaned_Data!$P$5:$P$54,0))</f>
        <v>Student</v>
      </c>
      <c r="D6" s="5" t="n">
        <f aca="false">INDEX(Cleaned_Data!$F$5:$F$54,MATCH(2,Cleaned_Data!$P$5:$P$54,0))</f>
        <v>8</v>
      </c>
      <c r="E6" s="12" t="n">
        <f aca="false">INDEX(Cleaned_Data!$L$5:$L$54,MATCH(2,Cleaned_Data!$P$5:$P$54,0))</f>
        <v>300</v>
      </c>
    </row>
    <row r="7" customFormat="false" ht="15" hidden="false" customHeight="false" outlineLevel="0" collapsed="false">
      <c r="A7" s="25" t="n">
        <v>3</v>
      </c>
      <c r="B7" s="4" t="str">
        <f aca="false">INDEX(Cleaned_Data!$A$5:$A$54,MATCH(3,Cleaned_Data!$P$5:$P$54,0))</f>
        <v>V5023</v>
      </c>
      <c r="C7" s="4" t="str">
        <f aca="false">INDEX(Cleaned_Data!$C$5:$C$54,MATCH(3,Cleaned_Data!$P$5:$P$54,0))</f>
        <v>Other</v>
      </c>
      <c r="D7" s="5" t="n">
        <f aca="false">INDEX(Cleaned_Data!$F$5:$F$54,MATCH(3,Cleaned_Data!$P$5:$P$54,0))</f>
        <v>7</v>
      </c>
      <c r="E7" s="12" t="n">
        <f aca="false">INDEX(Cleaned_Data!$L$5:$L$54,MATCH(3,Cleaned_Data!$P$5:$P$54,0))</f>
        <v>265</v>
      </c>
    </row>
    <row r="8" customFormat="false" ht="15" hidden="false" customHeight="false" outlineLevel="0" collapsed="false">
      <c r="A8" s="25" t="n">
        <v>4</v>
      </c>
      <c r="B8" s="4" t="str">
        <f aca="false">INDEX(Cleaned_Data!$A$5:$A$54,MATCH(4,Cleaned_Data!$P$5:$P$54,0))</f>
        <v>V5024</v>
      </c>
      <c r="C8" s="4" t="str">
        <f aca="false">INDEX(Cleaned_Data!$C$5:$C$54,MATCH(4,Cleaned_Data!$P$5:$P$54,0))</f>
        <v>Other</v>
      </c>
      <c r="D8" s="5" t="n">
        <f aca="false">INDEX(Cleaned_Data!$F$5:$F$54,MATCH(4,Cleaned_Data!$P$5:$P$54,0))</f>
        <v>6</v>
      </c>
      <c r="E8" s="12" t="n">
        <f aca="false">INDEX(Cleaned_Data!$L$5:$L$54,MATCH(4,Cleaned_Data!$P$5:$P$54,0))</f>
        <v>265</v>
      </c>
    </row>
    <row r="9" customFormat="false" ht="15" hidden="false" customHeight="false" outlineLevel="0" collapsed="false">
      <c r="A9" s="25" t="n">
        <v>5</v>
      </c>
      <c r="B9" s="4" t="str">
        <f aca="false">INDEX(Cleaned_Data!$A$5:$A$54,MATCH(5,Cleaned_Data!$P$5:$P$54,0))</f>
        <v>V5007</v>
      </c>
      <c r="C9" s="4" t="str">
        <f aca="false">INDEX(Cleaned_Data!$C$5:$C$54,MATCH(5,Cleaned_Data!$P$5:$P$54,0))</f>
        <v>Student</v>
      </c>
      <c r="D9" s="5" t="n">
        <f aca="false">INDEX(Cleaned_Data!$F$5:$F$54,MATCH(5,Cleaned_Data!$P$5:$P$54,0))</f>
        <v>5</v>
      </c>
      <c r="E9" s="12" t="n">
        <f aca="false">INDEX(Cleaned_Data!$L$5:$L$54,MATCH(5,Cleaned_Data!$P$5:$P$54,0))</f>
        <v>245</v>
      </c>
    </row>
    <row r="12" customFormat="false" ht="15" hidden="false" customHeight="false" outlineLevel="0" collapsed="false">
      <c r="A12" s="6" t="s">
        <v>107</v>
      </c>
    </row>
    <row r="13" customFormat="false" ht="69.75" hidden="false" customHeight="true" outlineLevel="0" collapsed="false">
      <c r="A13" s="15" t="str">
        <f aca="false">"The top 5 transactions range from Php "&amp;TEXT(E9,"#,##0")&amp;" to Php "&amp;TEXT(E5,"#,##0")&amp;", well above the overall average visit value. These high-value visits share longer usage hours and/or combine internet time with food and printing add-ons, confirming that bundling services increases per-visit revenue."</f>
        <v>The top 5 transactions range from Php 245 to Php 300, well above the overall average visit value. These high-value visits share longer usage hours and/or combine internet time with food and printing add-ons, confirming that bundling services increases per-visit revenue.</v>
      </c>
      <c r="B13" s="15"/>
      <c r="C13" s="15"/>
      <c r="D13" s="15"/>
      <c r="E13" s="15"/>
    </row>
    <row r="14" customFormat="false" ht="15" hidden="false" customHeight="false" outlineLevel="0" collapsed="false">
      <c r="A14" s="15"/>
      <c r="B14" s="15"/>
      <c r="C14" s="15"/>
      <c r="D14" s="15"/>
      <c r="E14" s="15"/>
    </row>
    <row r="15" customFormat="false" ht="15" hidden="false" customHeight="false" outlineLevel="0" collapsed="false">
      <c r="A15" s="15"/>
      <c r="B15" s="15"/>
      <c r="C15" s="15"/>
      <c r="D15" s="15"/>
      <c r="E15" s="15"/>
    </row>
    <row r="16" customFormat="false" ht="15" hidden="false" customHeight="false" outlineLevel="0" collapsed="false">
      <c r="A16" s="15"/>
      <c r="B16" s="15"/>
      <c r="C16" s="15"/>
      <c r="D16" s="15"/>
      <c r="E16" s="15"/>
    </row>
  </sheetData>
  <mergeCells count="3">
    <mergeCell ref="A1:E1"/>
    <mergeCell ref="A2:E2"/>
    <mergeCell ref="A13: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4" min="3" style="0" width="14"/>
  </cols>
  <sheetData>
    <row r="1" customFormat="false" ht="21.75" hidden="false" customHeight="true" outlineLevel="0" collapsed="false">
      <c r="A1" s="1" t="s">
        <v>140</v>
      </c>
      <c r="B1" s="1"/>
    </row>
    <row r="3" customFormat="false" ht="15" hidden="false" customHeight="false" outlineLevel="0" collapsed="false">
      <c r="A3" s="22" t="s">
        <v>141</v>
      </c>
      <c r="B3" s="26" t="n">
        <f aca="false">CORREL(Cleaned_Data!$F$5:$F$54,Cleaned_Data!$L$5:$L$54)</f>
        <v>0.791094806365007</v>
      </c>
    </row>
    <row r="4" customFormat="false" ht="15" hidden="false" customHeight="false" outlineLevel="0" collapsed="false">
      <c r="A4" s="7" t="s">
        <v>142</v>
      </c>
      <c r="B4" s="27" t="str">
        <f aca="false">IF(ABS(B3)&gt;=0.7,"Strong",IF(ABS(B3)&gt;=0.4,"Moderate",IF(ABS(B3)&gt;=0.1,"Weak","Negligible")))</f>
        <v>Strong</v>
      </c>
    </row>
    <row r="5" customFormat="false" ht="15" hidden="false" customHeight="false" outlineLevel="0" collapsed="false">
      <c r="A5" s="7" t="s">
        <v>143</v>
      </c>
      <c r="B5" s="27" t="str">
        <f aca="false">IF(B3&gt;0,"Positive","Negative")</f>
        <v>Positive</v>
      </c>
    </row>
    <row r="34" customFormat="false" ht="15" hidden="false" customHeight="false" outlineLevel="0" collapsed="false">
      <c r="A34" s="6" t="s">
        <v>107</v>
      </c>
    </row>
    <row r="35" customFormat="false" ht="99.75" hidden="false" customHeight="true" outlineLevel="0" collapsed="false">
      <c r="A35" s="15" t="str">
        <f aca="false">"A correlation of "&amp;TEXT(B3,"0.000")&amp;" indicates a "&amp;LOWER(B4)&amp;", "&amp;LOWER(B5)&amp;" relationship between Usage Hours and Total Sales. In practical terms, customers who stay longer on the computer tend to spend more overall — likely because longer sessions increase the chance of add-on purchases like food, printing, or gaming. This supports promoting hourly package deals or loyalty discounts for longer sessions to increase average spend per visit."</f>
        <v>A correlation of 0.791 indicates a strong, positive relationship between Usage Hours and Total Sales. In practical terms, customers who stay longer on the computer tend to spend more overall — likely because longer sessions increase the chance of add-on purchases like food, printing, or gaming. This supports promoting hourly package deals or loyalty discounts for longer sessions to increase average spend per visit.</v>
      </c>
      <c r="B35" s="15"/>
      <c r="C35" s="15"/>
      <c r="D35" s="15"/>
    </row>
    <row r="36" customFormat="false" ht="15" hidden="false" customHeight="false" outlineLevel="0" collapsed="false">
      <c r="A36" s="15"/>
      <c r="B36" s="15"/>
      <c r="C36" s="15"/>
      <c r="D36" s="15"/>
    </row>
    <row r="37" customFormat="false" ht="15" hidden="false" customHeight="false" outlineLevel="0" collapsed="false">
      <c r="A37" s="15"/>
      <c r="B37" s="15"/>
      <c r="C37" s="15"/>
      <c r="D37" s="15"/>
    </row>
    <row r="38" customFormat="false" ht="15" hidden="false" customHeight="false" outlineLevel="0" collapsed="false">
      <c r="A38" s="15"/>
      <c r="B38" s="15"/>
      <c r="C38" s="15"/>
      <c r="D38" s="15"/>
    </row>
    <row r="39" customFormat="false" ht="15" hidden="false" customHeight="false" outlineLevel="0" collapsed="false">
      <c r="A39" s="15"/>
      <c r="B39" s="15"/>
      <c r="C39" s="15"/>
      <c r="D39" s="15"/>
    </row>
  </sheetData>
  <mergeCells count="2">
    <mergeCell ref="A1:B1"/>
    <mergeCell ref="A35: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
  </cols>
  <sheetData>
    <row r="1" customFormat="false" ht="21.75" hidden="false" customHeight="true" outlineLevel="0" collapsed="false">
      <c r="A1" s="1" t="s">
        <v>144</v>
      </c>
      <c r="B1" s="1"/>
    </row>
    <row r="3" customFormat="false" ht="15" hidden="false" customHeight="false" outlineLevel="0" collapsed="false">
      <c r="A3" s="6" t="s">
        <v>145</v>
      </c>
    </row>
    <row r="4" customFormat="false" ht="39.75" hidden="false" customHeight="true" outlineLevel="0" collapsed="false">
      <c r="A4" s="15" t="str">
        <f aca="false">"1. Students are the largest customer segment ("&amp;Customer_Type_Analysis!B5&amp;" of "&amp;Customer_Type_Analysis!B8&amp;" visits), but "&amp;INDEX(Customer_Type_Analysis!A5:A7,MATCH(MAX(Customer_Type_Analysis!F5:F7),Customer_Type_Analysis!F5:F7,0))&amp;" customers spend the most per visit on average (Php "&amp;TEXT(MAX(Customer_Type_Analysis!F5:F7),"#,##0.00")&amp;")."</f>
        <v>1. Students are the largest customer segment (20 of 50 visits), but Other customers spend the most per visit on average (Php 177.00).</v>
      </c>
      <c r="B4" s="15"/>
    </row>
    <row r="5" customFormat="false" ht="39.75" hidden="false" customHeight="true" outlineLevel="0" collapsed="false">
      <c r="A5" s="15" t="str">
        <f aca="false">"2. Internet Sales is the dominant revenue source at "&amp;TEXT(Revenue_Sources!C4,"0.0")&amp;"% of total revenue, versus "&amp;TEXT(Revenue_Sources!C5,"0.0")&amp;"% from food, printing, and gaming combined."</f>
        <v>2. Internet Sales is the dominant revenue source at 73.4% of total revenue, versus 26.6% from food, printing, and gaming combined.</v>
      </c>
      <c r="B5" s="15"/>
    </row>
    <row r="6" customFormat="false" ht="39.75" hidden="false" customHeight="true" outlineLevel="0" collapsed="false">
      <c r="A6" s="15" t="str">
        <f aca="false">"3. Sales peak on "&amp;Day_of_Week_Analysis!B12&amp;" and dip on "&amp;Day_of_Week_Analysis!B13&amp;", showing a clear weekly demand pattern."</f>
        <v>3. Sales peak on Monday and dip on Tuesday, showing a clear weekly demand pattern.</v>
      </c>
      <c r="B6" s="15"/>
    </row>
    <row r="7" customFormat="false" ht="39.75" hidden="false" customHeight="true" outlineLevel="0" collapsed="false">
      <c r="A7" s="15" t="str">
        <f aca="false">"4. Usage Hours and Total Sales are positively correlated (r = "&amp;TEXT(Correlation_Analysis!B3,"0.000")&amp;"), meaning longer sessions reliably translate to higher spending."</f>
        <v>4. Usage Hours and Total Sales are positively correlated (r = 0.791), meaning longer sessions reliably translate to higher spending.</v>
      </c>
      <c r="B7" s="15"/>
    </row>
    <row r="8" customFormat="false" ht="39.75" hidden="false" customHeight="true" outlineLevel="0" collapsed="false">
      <c r="A8" s="15" t="str">
        <f aca="false">"5. Gaming Service is used in "&amp;TEXT(Service_Analysis!B6,"0.0")&amp;"% of visits, and printing activity totals "&amp;Service_Analysis!B10&amp;" pages across "&amp;Service_Analysis!B11&amp;" customers — both are proven secondary revenue streams with room to grow."</f>
        <v>5. Gaming Service is used in 44.0% of visits, and printing activity totals 220 pages across 42 customers — both are proven secondary revenue streams with room to grow.</v>
      </c>
      <c r="B8" s="15"/>
    </row>
    <row r="10" customFormat="false" ht="15" hidden="false" customHeight="false" outlineLevel="0" collapsed="false">
      <c r="A10" s="6" t="s">
        <v>146</v>
      </c>
    </row>
    <row r="11" customFormat="false" ht="45" hidden="false" customHeight="true" outlineLevel="0" collapsed="false">
      <c r="A11" s="15" t="s">
        <v>147</v>
      </c>
      <c r="B11" s="15"/>
    </row>
    <row r="12" customFormat="false" ht="45" hidden="false" customHeight="true" outlineLevel="0" collapsed="false">
      <c r="A12" s="15" t="s">
        <v>148</v>
      </c>
      <c r="B12" s="15"/>
    </row>
    <row r="13" customFormat="false" ht="45" hidden="false" customHeight="true" outlineLevel="0" collapsed="false">
      <c r="A13" s="15" t="s">
        <v>149</v>
      </c>
      <c r="B13" s="15"/>
    </row>
    <row r="14" customFormat="false" ht="45" hidden="false" customHeight="true" outlineLevel="0" collapsed="false">
      <c r="A14" s="15" t="s">
        <v>150</v>
      </c>
      <c r="B14" s="15"/>
    </row>
  </sheetData>
  <mergeCells count="10">
    <mergeCell ref="A1:B1"/>
    <mergeCell ref="A4:B4"/>
    <mergeCell ref="A5:B5"/>
    <mergeCell ref="A6:B6"/>
    <mergeCell ref="A7:B7"/>
    <mergeCell ref="A8:B8"/>
    <mergeCell ref="A11:B11"/>
    <mergeCell ref="A12:B12"/>
    <mergeCell ref="A13:B13"/>
    <mergeCell ref="A14:B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2026-09-17T11:32:13Z</dcterms:created>
  <dc:creator>openpyxl</dc:creator>
  <dc:description/>
  <dc:language>en-US</dc:language>
  <cp:lastModifiedBy/>
  <dcterms:modified xsi:type="dcterms:W3CDTF">2026-09-17T11:32:15Z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